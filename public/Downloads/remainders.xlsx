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16509A6-E53E-49F2-A94E-8BD90D505AE3}" xr6:coauthVersionLast="47" xr6:coauthVersionMax="47" xr10:uidLastSave="{00000000-0000-0000-0000-000000000000}"/>
  <bookViews>
    <workbookView xWindow="-108" yWindow="-108" windowWidth="23256" windowHeight="12456" firstSheet="14" activeTab="14" xr2:uid="{00000000-000D-0000-FFFF-FFFF00000000}"/>
  </bookViews>
  <sheets>
    <sheet name="FORGING PRIORITY 64s" sheetId="12" state="hidden" r:id="rId1"/>
    <sheet name="FORGING PRIORITY 6L4" sheetId="22" state="hidden" r:id="rId2"/>
    <sheet name="FORGING PRIORITY 6L4 (2)" sheetId="23" state="hidden" r:id="rId3"/>
    <sheet name="FORGING PRIORITY 254LL" sheetId="25" state="hidden" r:id="rId4"/>
    <sheet name="FORGING PRIORITY 164 S" sheetId="24" state="hidden" r:id="rId5"/>
    <sheet name="FORGING PRIORITY 164s" sheetId="13" state="hidden" r:id="rId6"/>
    <sheet name="FORGING PRIORITY 164s 1" sheetId="15" state="hidden" r:id="rId7"/>
    <sheet name="holiday plan" sheetId="18" state="hidden" r:id="rId8"/>
    <sheet name="Daily forging priority" sheetId="3" state="hidden" r:id="rId9"/>
    <sheet name="FORGING PRIORITY - (2)" sheetId="7" state="hidden" r:id="rId10"/>
    <sheet name="120821" sheetId="8" state="hidden" r:id="rId11"/>
    <sheet name="160821" sheetId="9" state="hidden" r:id="rId12"/>
    <sheet name="closed" sheetId="33" state="hidden" r:id="rId13"/>
    <sheet name="open TILL 30 june" sheetId="35" state="hidden" r:id="rId14"/>
    <sheet name="APRIL 26" sheetId="36" r:id="rId15"/>
    <sheet name="TBF" sheetId="37" r:id="rId16"/>
    <sheet name="Sheet4" sheetId="38" r:id="rId17"/>
  </sheets>
  <externalReferences>
    <externalReference r:id="rId18"/>
  </externalReferences>
  <definedNames>
    <definedName name="_xlnm._FilterDatabase" localSheetId="12" hidden="1">closed!$A$1:$Q$71</definedName>
    <definedName name="_xlnm._FilterDatabase" localSheetId="4" hidden="1">'FORGING PRIORITY 164 S'!$A$6:$Q$75</definedName>
    <definedName name="_xlnm._FilterDatabase" localSheetId="3" hidden="1">'FORGING PRIORITY 254LL'!$A$5:$M$21</definedName>
    <definedName name="_xlnm._FilterDatabase" localSheetId="1" hidden="1">'FORGING PRIORITY 6L4'!$A$5:$M$29</definedName>
    <definedName name="_xlnm._FilterDatabase" localSheetId="13" hidden="1">'open TILL 30 june'!$A$1:$T$120</definedName>
    <definedName name="_xlnm._FilterDatabase" localSheetId="16" hidden="1">Sheet4!$D$2:$I$23</definedName>
    <definedName name="_xlnm._FilterDatabase" localSheetId="15" hidden="1">TBF!$B$2:$V$73</definedName>
    <definedName name="A" localSheetId="4">[1]Sheet1!#REF!</definedName>
    <definedName name="A" localSheetId="5">[1]Sheet1!#REF!</definedName>
    <definedName name="A" localSheetId="6">[1]Sheet1!#REF!</definedName>
    <definedName name="A" localSheetId="3">[1]Sheet1!#REF!</definedName>
    <definedName name="A" localSheetId="0">[1]Sheet1!#REF!</definedName>
    <definedName name="A" localSheetId="1">[1]Sheet1!#REF!</definedName>
    <definedName name="A" localSheetId="2">[1]Sheet1!#REF!</definedName>
    <definedName name="A" localSheetId="7">[1]Sheet1!#REF!</definedName>
    <definedName name="A">[1]Sheet1!#REF!</definedName>
    <definedName name="AA" localSheetId="12">#REF!</definedName>
    <definedName name="AA" localSheetId="4">#REF!</definedName>
    <definedName name="AA" localSheetId="5">#REF!</definedName>
    <definedName name="AA" localSheetId="6">#REF!</definedName>
    <definedName name="AA" localSheetId="3">#REF!</definedName>
    <definedName name="AA" localSheetId="0">#REF!</definedName>
    <definedName name="AA" localSheetId="1">#REF!</definedName>
    <definedName name="AA" localSheetId="2">#REF!</definedName>
    <definedName name="AA" localSheetId="7">#REF!</definedName>
    <definedName name="AA">#REF!</definedName>
    <definedName name="AS" localSheetId="11">[1]Sheet1!#REF!</definedName>
    <definedName name="AS" localSheetId="4">[1]Sheet1!#REF!</definedName>
    <definedName name="AS" localSheetId="5">[1]Sheet1!#REF!</definedName>
    <definedName name="AS" localSheetId="6">[1]Sheet1!#REF!</definedName>
    <definedName name="AS" localSheetId="3">[1]Sheet1!#REF!</definedName>
    <definedName name="AS" localSheetId="0">[1]Sheet1!#REF!</definedName>
    <definedName name="AS" localSheetId="1">[1]Sheet1!#REF!</definedName>
    <definedName name="AS" localSheetId="2">[1]Sheet1!#REF!</definedName>
    <definedName name="AS" localSheetId="7">[1]Sheet1!#REF!</definedName>
    <definedName name="AS">[1]Sheet1!#REF!</definedName>
    <definedName name="gDataRange" localSheetId="10">#REF!</definedName>
    <definedName name="gDataRange" localSheetId="11">#REF!</definedName>
    <definedName name="gDataRange" localSheetId="12">#REF!</definedName>
    <definedName name="gDataRange" localSheetId="8">#REF!</definedName>
    <definedName name="gDataRange" localSheetId="9">#REF!</definedName>
    <definedName name="gDataRange" localSheetId="4">#REF!</definedName>
    <definedName name="gDataRange" localSheetId="5">#REF!</definedName>
    <definedName name="gDataRange" localSheetId="6">#REF!</definedName>
    <definedName name="gDataRange" localSheetId="3">#REF!</definedName>
    <definedName name="gDataRange" localSheetId="0">#REF!</definedName>
    <definedName name="gDataRange" localSheetId="1">#REF!</definedName>
    <definedName name="gDataRange" localSheetId="2">#REF!</definedName>
    <definedName name="gDataRange" localSheetId="7">#REF!</definedName>
    <definedName name="gDataRange">#REF!</definedName>
    <definedName name="Height">10</definedName>
    <definedName name="_xlnm.Print_Area" localSheetId="10">'120821'!$A$1:$I$25</definedName>
    <definedName name="_xlnm.Print_Area" localSheetId="11">'160821'!$A$1:$I$23</definedName>
    <definedName name="_xlnm.Print_Area" localSheetId="8">'Daily forging priority'!$A$1:$I$27</definedName>
    <definedName name="_xlnm.Print_Area" localSheetId="9">'FORGING PRIORITY - (2)'!$A$1:$I$28</definedName>
    <definedName name="_xlnm.Print_Area" localSheetId="4">'FORGING PRIORITY 164 S'!$A$1:$Q$82</definedName>
    <definedName name="_xlnm.Print_Area" localSheetId="5">'FORGING PRIORITY 164s'!$A$1:$K$31</definedName>
    <definedName name="_xlnm.Print_Area" localSheetId="6">'FORGING PRIORITY 164s 1'!$A$1:$K$32</definedName>
    <definedName name="_xlnm.Print_Area" localSheetId="3">'FORGING PRIORITY 254LL'!$A$1:$M$51</definedName>
    <definedName name="_xlnm.Print_Area" localSheetId="0">'FORGING PRIORITY 64s'!$A$1:$M$28</definedName>
    <definedName name="_xlnm.Print_Area" localSheetId="1">'FORGING PRIORITY 6L4'!$A$1:$M$43</definedName>
    <definedName name="_xlnm.Print_Area" localSheetId="2">'FORGING PRIORITY 6L4 (2)'!$A$1:$M$51</definedName>
    <definedName name="_xlnm.Print_Area" localSheetId="7">'holiday plan'!$A$1:$L$25</definedName>
    <definedName name="TEST3" localSheetId="10">[1]Sheet1!#REF!</definedName>
    <definedName name="TEST3" localSheetId="11">[1]Sheet1!#REF!</definedName>
    <definedName name="TEST3" localSheetId="8">[1]Sheet1!#REF!</definedName>
    <definedName name="TEST3" localSheetId="9">[1]Sheet1!#REF!</definedName>
    <definedName name="TEST3" localSheetId="4">[1]Sheet1!#REF!</definedName>
    <definedName name="TEST3" localSheetId="5">[1]Sheet1!#REF!</definedName>
    <definedName name="TEST3" localSheetId="6">[1]Sheet1!#REF!</definedName>
    <definedName name="TEST3" localSheetId="3">[1]Sheet1!#REF!</definedName>
    <definedName name="TEST3" localSheetId="0">[1]Sheet1!#REF!</definedName>
    <definedName name="TEST3" localSheetId="1">[1]Sheet1!#REF!</definedName>
    <definedName name="TEST3" localSheetId="2">[1]Sheet1!#REF!</definedName>
    <definedName name="TEST3" localSheetId="7">[1]Sheet1!#REF!</definedName>
    <definedName name="TEST3">[1]Sheet1!#REF!</definedName>
    <definedName name="test4" localSheetId="10">[1]Sheet1!#REF!</definedName>
    <definedName name="test4" localSheetId="11">[1]Sheet1!#REF!</definedName>
    <definedName name="test4" localSheetId="9">[1]Sheet1!#REF!</definedName>
    <definedName name="test4" localSheetId="4">[1]Sheet1!#REF!</definedName>
    <definedName name="test4" localSheetId="5">[1]Sheet1!#REF!</definedName>
    <definedName name="test4" localSheetId="6">[1]Sheet1!#REF!</definedName>
    <definedName name="test4" localSheetId="3">[1]Sheet1!#REF!</definedName>
    <definedName name="test4" localSheetId="0">[1]Sheet1!#REF!</definedName>
    <definedName name="test4" localSheetId="1">[1]Sheet1!#REF!</definedName>
    <definedName name="test4" localSheetId="2">[1]Sheet1!#REF!</definedName>
    <definedName name="test4" localSheetId="7">[1]Sheet1!#REF!</definedName>
    <definedName name="test4">[1]Sheet1!#REF!</definedName>
    <definedName name="test456" localSheetId="10">[1]Sheet1!#REF!</definedName>
    <definedName name="test456" localSheetId="11">[1]Sheet1!#REF!</definedName>
    <definedName name="test456" localSheetId="9">[1]Sheet1!#REF!</definedName>
    <definedName name="test456" localSheetId="4">[1]Sheet1!#REF!</definedName>
    <definedName name="test456" localSheetId="5">[1]Sheet1!#REF!</definedName>
    <definedName name="test456" localSheetId="6">[1]Sheet1!#REF!</definedName>
    <definedName name="test456" localSheetId="3">[1]Sheet1!#REF!</definedName>
    <definedName name="test456" localSheetId="0">[1]Sheet1!#REF!</definedName>
    <definedName name="test456" localSheetId="1">[1]Sheet1!#REF!</definedName>
    <definedName name="test456" localSheetId="2">[1]Sheet1!#REF!</definedName>
    <definedName name="test456" localSheetId="7">[1]Sheet1!#REF!</definedName>
    <definedName name="test456">[1]Sheet1!#REF!</definedName>
    <definedName name="Width">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3" i="37" l="1"/>
  <c r="U72" i="37"/>
  <c r="U71" i="37"/>
  <c r="U70" i="37"/>
  <c r="U69" i="37"/>
  <c r="U68" i="37"/>
  <c r="U67" i="37"/>
  <c r="U66" i="37"/>
  <c r="U65" i="37"/>
  <c r="U64" i="37"/>
  <c r="U63" i="37"/>
  <c r="U62" i="37"/>
  <c r="U61" i="37"/>
  <c r="U60" i="37"/>
  <c r="U59" i="37"/>
  <c r="U58" i="37"/>
  <c r="U57" i="37"/>
  <c r="U56" i="37"/>
  <c r="U55" i="37"/>
  <c r="U54" i="37"/>
  <c r="U53" i="37"/>
  <c r="U52" i="37"/>
  <c r="U51" i="37"/>
  <c r="U50" i="37"/>
  <c r="U49" i="37"/>
  <c r="U48" i="37"/>
  <c r="U47" i="37"/>
  <c r="U46" i="37"/>
  <c r="U45" i="37"/>
  <c r="U44" i="37"/>
  <c r="U43" i="37"/>
  <c r="U42" i="37"/>
  <c r="U41" i="37"/>
  <c r="U40" i="37"/>
  <c r="U39" i="37"/>
  <c r="U38" i="37"/>
  <c r="U37" i="37"/>
  <c r="U36" i="37"/>
  <c r="U35" i="37"/>
  <c r="U34" i="37"/>
  <c r="U33" i="37"/>
  <c r="U32" i="37"/>
  <c r="U31" i="37"/>
  <c r="U30" i="37"/>
  <c r="U29" i="37"/>
  <c r="U28" i="37"/>
  <c r="U27" i="37"/>
  <c r="U26" i="37"/>
  <c r="U25" i="37"/>
  <c r="U24" i="37"/>
  <c r="U23" i="37"/>
  <c r="U22" i="37"/>
  <c r="U21" i="37"/>
  <c r="U20" i="37"/>
  <c r="U19" i="37"/>
  <c r="U18" i="37"/>
  <c r="U17" i="37"/>
  <c r="U16" i="37"/>
  <c r="U15" i="37"/>
  <c r="U14" i="37"/>
  <c r="U13" i="37"/>
  <c r="U12" i="37"/>
  <c r="U11" i="37"/>
  <c r="U10" i="37"/>
  <c r="U9" i="37"/>
  <c r="U8" i="37"/>
  <c r="U7" i="37"/>
  <c r="U6" i="37"/>
  <c r="U5" i="37"/>
  <c r="U4" i="37"/>
  <c r="U3" i="37"/>
  <c r="C79" i="24"/>
  <c r="L60" i="24"/>
  <c r="L61" i="24"/>
  <c r="L62" i="24"/>
  <c r="L59" i="24"/>
  <c r="L58" i="24"/>
  <c r="L39" i="24" l="1"/>
  <c r="L42" i="24" l="1"/>
  <c r="L41" i="24"/>
  <c r="L40" i="24"/>
  <c r="L38" i="24"/>
  <c r="L18" i="24" l="1"/>
  <c r="L17" i="24"/>
  <c r="D48" i="25"/>
  <c r="C48" i="25"/>
  <c r="F48" i="25" s="1"/>
  <c r="H21" i="25"/>
  <c r="H20" i="25"/>
  <c r="H19" i="25"/>
  <c r="H18" i="25"/>
  <c r="H17" i="25"/>
  <c r="H16" i="25"/>
  <c r="H15" i="25"/>
  <c r="H13" i="25"/>
  <c r="H14" i="25"/>
  <c r="H10" i="25" l="1"/>
  <c r="H8" i="25"/>
  <c r="H7" i="25"/>
  <c r="H6" i="25"/>
  <c r="G46" i="25"/>
  <c r="H46" i="25" l="1"/>
  <c r="H79" i="24" l="1"/>
  <c r="K77" i="24"/>
  <c r="I79" i="24" s="1"/>
  <c r="J79" i="24" s="1"/>
  <c r="L24" i="24"/>
  <c r="L23" i="24"/>
  <c r="L22" i="24"/>
  <c r="L21" i="24"/>
  <c r="L20" i="24"/>
  <c r="L19" i="24"/>
  <c r="L16" i="24"/>
  <c r="L15" i="24"/>
  <c r="L14" i="24"/>
  <c r="L13" i="24"/>
  <c r="L12" i="24"/>
  <c r="L11" i="24"/>
  <c r="L10" i="24"/>
  <c r="L9" i="24"/>
  <c r="L8" i="24"/>
  <c r="L7" i="24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G38" i="22"/>
  <c r="E40" i="22" s="1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13" i="12"/>
  <c r="H12" i="12"/>
  <c r="H11" i="12"/>
  <c r="H10" i="12"/>
  <c r="H9" i="12"/>
  <c r="H8" i="12"/>
  <c r="H7" i="12"/>
  <c r="H6" i="12"/>
  <c r="D48" i="23"/>
  <c r="C48" i="23"/>
  <c r="F48" i="23" s="1"/>
  <c r="G46" i="23"/>
  <c r="H38" i="22" l="1"/>
  <c r="L77" i="24"/>
  <c r="H46" i="23"/>
  <c r="D40" i="22"/>
  <c r="C40" i="22"/>
  <c r="F40" i="22" s="1"/>
  <c r="C25" i="12" l="1"/>
  <c r="G23" i="12" l="1"/>
  <c r="E25" i="12" s="1"/>
  <c r="D25" i="12" l="1"/>
  <c r="H23" i="12" l="1"/>
  <c r="J11" i="15" l="1"/>
  <c r="J10" i="15"/>
  <c r="J9" i="15"/>
  <c r="J8" i="15"/>
  <c r="J7" i="15"/>
  <c r="J6" i="15"/>
  <c r="H23" i="15"/>
  <c r="H24" i="15" s="1"/>
  <c r="F25" i="12"/>
  <c r="D26" i="15"/>
  <c r="C26" i="15"/>
  <c r="F26" i="15" s="1"/>
</calcChain>
</file>

<file path=xl/sharedStrings.xml><?xml version="1.0" encoding="utf-8"?>
<sst xmlns="http://schemas.openxmlformats.org/spreadsheetml/2006/main" count="3629" uniqueCount="1213">
  <si>
    <t>Format No</t>
  </si>
  <si>
    <t>PUNCH RATNA FASTENERS PVT LTD - PLANT II</t>
  </si>
  <si>
    <t>DATE:</t>
  </si>
  <si>
    <t>#</t>
  </si>
  <si>
    <t>Part no</t>
  </si>
  <si>
    <t>Part Name</t>
  </si>
  <si>
    <t>Customer</t>
  </si>
  <si>
    <t xml:space="preserve">Quantity </t>
  </si>
  <si>
    <t>MACHINE</t>
  </si>
  <si>
    <t>Mat. Grade / SIZE</t>
  </si>
  <si>
    <t>FORGING DAILY PRIORITY</t>
  </si>
  <si>
    <t>Rev no</t>
  </si>
  <si>
    <t>Rev.Dt</t>
  </si>
  <si>
    <t>F/8.5/PP/05</t>
  </si>
  <si>
    <t>Weight</t>
  </si>
  <si>
    <t>Remarks</t>
  </si>
  <si>
    <t>BM02</t>
  </si>
  <si>
    <t>BM01</t>
  </si>
  <si>
    <t>BM03</t>
  </si>
  <si>
    <t>BM04</t>
  </si>
  <si>
    <t>BM06</t>
  </si>
  <si>
    <t>BALL PIN</t>
  </si>
  <si>
    <t>YAMAHA</t>
  </si>
  <si>
    <t>BM10</t>
  </si>
  <si>
    <t>BM08</t>
  </si>
  <si>
    <t>RML</t>
  </si>
  <si>
    <t>M6X1.0X16</t>
  </si>
  <si>
    <t>SOMIC ZF</t>
  </si>
  <si>
    <t>RUNNING</t>
  </si>
  <si>
    <t>BALL ROD</t>
  </si>
  <si>
    <t>10B21/5.75</t>
  </si>
  <si>
    <t>BM09</t>
  </si>
  <si>
    <t>95822-06016</t>
  </si>
  <si>
    <t>M6X1.0X12</t>
  </si>
  <si>
    <t>EN18D/26.7</t>
  </si>
  <si>
    <t>CP0420002F00</t>
  </si>
  <si>
    <t>41CR4/15.25</t>
  </si>
  <si>
    <t>SHAFT</t>
  </si>
  <si>
    <t>COMSTAR</t>
  </si>
  <si>
    <t>1045H/20.35</t>
  </si>
  <si>
    <t>CPFV3S11355BA</t>
  </si>
  <si>
    <t>EN-18D/15.7</t>
  </si>
  <si>
    <t>SETTING</t>
  </si>
  <si>
    <t>EN-18D/17.8</t>
  </si>
  <si>
    <t>KM SEAT</t>
  </si>
  <si>
    <t>95022-08045</t>
  </si>
  <si>
    <t>M8X1.25X45</t>
  </si>
  <si>
    <t>15B25/7.75</t>
  </si>
  <si>
    <t>NPD</t>
  </si>
  <si>
    <t>1090980-AA</t>
  </si>
  <si>
    <t>1106137-AA</t>
  </si>
  <si>
    <t>7/16UNFX40L</t>
  </si>
  <si>
    <t>7/16UNFX28L</t>
  </si>
  <si>
    <t>TAKATA</t>
  </si>
  <si>
    <t>15B25/11.68</t>
  </si>
  <si>
    <t>95022-06010</t>
  </si>
  <si>
    <t>95022-06012</t>
  </si>
  <si>
    <t>M6X1.0X10</t>
  </si>
  <si>
    <t>CP0630602F00</t>
  </si>
  <si>
    <t>EN-18D/16.7</t>
  </si>
  <si>
    <t>SCM440/17.95</t>
  </si>
  <si>
    <t>1441804x0101</t>
  </si>
  <si>
    <t>M16X2.0X200</t>
  </si>
  <si>
    <t>TAFE</t>
  </si>
  <si>
    <t>10B35/15.7</t>
  </si>
  <si>
    <t>L01718687NCP</t>
  </si>
  <si>
    <t>DIA10X22 PIN</t>
  </si>
  <si>
    <t>10B21/13.2</t>
  </si>
  <si>
    <t>7/1620UNFX40L</t>
  </si>
  <si>
    <t>RANE TRW</t>
  </si>
  <si>
    <t>15B25/13.2</t>
  </si>
  <si>
    <t>NPD SETTING</t>
  </si>
  <si>
    <t>CPGK2T11355CA</t>
  </si>
  <si>
    <t>421 PANTHER</t>
  </si>
  <si>
    <t>1334C01201</t>
  </si>
  <si>
    <t>M16X2.0X220</t>
  </si>
  <si>
    <t>3019903X01</t>
  </si>
  <si>
    <t>M16X2.0X260</t>
  </si>
  <si>
    <t>GT9000110C4</t>
  </si>
  <si>
    <t>M8X1.25X14.5</t>
  </si>
  <si>
    <t>MANDO</t>
  </si>
  <si>
    <t>1045H/7.75</t>
  </si>
  <si>
    <t>GJ90104400</t>
  </si>
  <si>
    <t>M6X1.0X16.6</t>
  </si>
  <si>
    <t>26-300-02-F00</t>
  </si>
  <si>
    <t>4140/18.7</t>
  </si>
  <si>
    <t>3210203213S</t>
  </si>
  <si>
    <t>4140/17.7</t>
  </si>
  <si>
    <t>NEXT</t>
  </si>
  <si>
    <t>FYL07311</t>
  </si>
  <si>
    <t>M10x1.5x30  FLANGE SCREW</t>
  </si>
  <si>
    <t>AL</t>
  </si>
  <si>
    <t>15B25/10.3</t>
  </si>
  <si>
    <t>FYL07211</t>
  </si>
  <si>
    <t>M8x1.25x25 FLANGE SCREW</t>
  </si>
  <si>
    <t>152B5/7.7</t>
  </si>
  <si>
    <t>90101-06814-00-80</t>
  </si>
  <si>
    <t>M6X1.0X30</t>
  </si>
  <si>
    <t>M6X1.0X25</t>
  </si>
  <si>
    <t>321011210WOP</t>
  </si>
  <si>
    <t>EN-18D/17.4</t>
  </si>
  <si>
    <t>EN-18D/14.8</t>
  </si>
  <si>
    <t>B44F214110</t>
  </si>
  <si>
    <t>M12X1.5X247</t>
  </si>
  <si>
    <t xml:space="preserve">DOC NO: </t>
  </si>
  <si>
    <t>REV NO:</t>
  </si>
  <si>
    <t>REV DATE:</t>
  </si>
  <si>
    <t>ISSUE DATE</t>
  </si>
  <si>
    <t>PERCI FAST PVT LTD - BETHAMCHERLA, KURNOOL (dt) 518599</t>
  </si>
  <si>
    <t>s.no</t>
  </si>
  <si>
    <t>Grade</t>
  </si>
  <si>
    <t>SIGN</t>
  </si>
  <si>
    <t>PRODUCTION 
(C.F,ROLLING)
HOD/INCHARGE</t>
  </si>
  <si>
    <t>TOOL ROOM HOD/INCHARGE</t>
  </si>
  <si>
    <t>QUALITY
HOD/INCHARGE</t>
  </si>
  <si>
    <t>FORGING DAILY OR WEEKLY PRIORITY</t>
  </si>
  <si>
    <t>NOTE:</t>
  </si>
  <si>
    <t>PREPARED BY:</t>
  </si>
  <si>
    <t>APPROVED BY:</t>
  </si>
  <si>
    <t>PPC
HOD/ INCHARGE</t>
  </si>
  <si>
    <t xml:space="preserve"> PRIORITY  OF ITEMS BASED ON THE CUSTOMER URGENCY</t>
  </si>
  <si>
    <t>status/priority</t>
  </si>
  <si>
    <t>V112035204</t>
  </si>
  <si>
    <t>V112040204</t>
  </si>
  <si>
    <t>M12X1.5X35 HHB</t>
  </si>
  <si>
    <t>M12X1.5X40 HHB</t>
  </si>
  <si>
    <t>15B25/11.63</t>
  </si>
  <si>
    <t>164S</t>
  </si>
  <si>
    <t>L112060204</t>
  </si>
  <si>
    <t>M12X1.5X60 HHB</t>
  </si>
  <si>
    <t>L112070204</t>
  </si>
  <si>
    <t>M12X1.5X70 HHB</t>
  </si>
  <si>
    <t>L112050204</t>
  </si>
  <si>
    <t>M12X1.5X50 HHB</t>
  </si>
  <si>
    <t>L012075402</t>
  </si>
  <si>
    <t>L012080402</t>
  </si>
  <si>
    <t>L012090402</t>
  </si>
  <si>
    <t>V012035204</t>
  </si>
  <si>
    <t>L012045204</t>
  </si>
  <si>
    <t>M12X1.75X75 HHB</t>
  </si>
  <si>
    <t>M12X1.75X80 HHB</t>
  </si>
  <si>
    <t>L012050204</t>
  </si>
  <si>
    <t>M12X1.75X35 HHB</t>
  </si>
  <si>
    <t>M12X1.75X45 HHB</t>
  </si>
  <si>
    <t>M12X1.75X50 HHB</t>
  </si>
  <si>
    <t>PPL-10.9-19A/F</t>
  </si>
  <si>
    <t>PPL-8.8-18A/F</t>
  </si>
  <si>
    <t>M12X1.75X90 HHB</t>
  </si>
  <si>
    <t>L012025203</t>
  </si>
  <si>
    <t>L012030203</t>
  </si>
  <si>
    <t>M12X1.75X25 HHS</t>
  </si>
  <si>
    <t>M12X1.75X30 HHS</t>
  </si>
  <si>
    <t>FAST MOVING FG BASED</t>
  </si>
  <si>
    <t>V114035204</t>
  </si>
  <si>
    <t>M14X1.5X35 HHB</t>
  </si>
  <si>
    <t>PPL-10.9-22A/F</t>
  </si>
  <si>
    <t>10B35/13.65</t>
  </si>
  <si>
    <t>V114040204</t>
  </si>
  <si>
    <t>M14X1.5X40 HHB</t>
  </si>
  <si>
    <t>L114065204</t>
  </si>
  <si>
    <t>L114075204</t>
  </si>
  <si>
    <t>M14X1.5X65 HHB</t>
  </si>
  <si>
    <t>M14X1.5X75 HHB</t>
  </si>
  <si>
    <t>TOOL ISSUE</t>
  </si>
  <si>
    <t xml:space="preserve"> ALL CUS. ORDER</t>
  </si>
  <si>
    <t>TOTAL</t>
  </si>
  <si>
    <t>INTERNAL</t>
  </si>
  <si>
    <t>URGENT</t>
  </si>
  <si>
    <t>PPL-10.9  22A/F</t>
  </si>
  <si>
    <t>L114055204</t>
  </si>
  <si>
    <t>L114060204</t>
  </si>
  <si>
    <t>L114100204</t>
  </si>
  <si>
    <t>L014075204</t>
  </si>
  <si>
    <t>L014100204</t>
  </si>
  <si>
    <t>L014055204</t>
  </si>
  <si>
    <t>M14X1.5X55 HHB</t>
  </si>
  <si>
    <t>M14X1.5X60 HHB</t>
  </si>
  <si>
    <t>M14X1.5X100 HHB</t>
  </si>
  <si>
    <t>M14X2X55 HHB</t>
  </si>
  <si>
    <t>M14X2X75 HHB</t>
  </si>
  <si>
    <t>M14X2X100 HHB</t>
  </si>
  <si>
    <t>L016040201</t>
  </si>
  <si>
    <t>M16X2X40 HHS</t>
  </si>
  <si>
    <t>PPL-10.9  24A/F</t>
  </si>
  <si>
    <t>10B35/15.65</t>
  </si>
  <si>
    <t>L016090402</t>
  </si>
  <si>
    <t>M16X2X90 HHB</t>
  </si>
  <si>
    <t>PPL-8.8  24A/F</t>
  </si>
  <si>
    <t>CUSTOMER. SAMPLE</t>
  </si>
  <si>
    <t>L116055202</t>
  </si>
  <si>
    <t>M16X1.5X55 HHB</t>
  </si>
  <si>
    <t>L016055202</t>
  </si>
  <si>
    <t>L016080202</t>
  </si>
  <si>
    <t>L016085202</t>
  </si>
  <si>
    <t>L016130202</t>
  </si>
  <si>
    <t>L016150202</t>
  </si>
  <si>
    <t>M16X2X55 HHB</t>
  </si>
  <si>
    <t>M16X2X80 HHB</t>
  </si>
  <si>
    <t>M16X2X85 HHB</t>
  </si>
  <si>
    <t>M16X2X130 HHB</t>
  </si>
  <si>
    <t>M16X2X150 HHB</t>
  </si>
  <si>
    <t>M/C SPEED</t>
  </si>
  <si>
    <t>65PIECE/MINS</t>
  </si>
  <si>
    <t>OUTPUT/DAY IN 75%</t>
  </si>
  <si>
    <t>NO.DAYS REQUIRED BASED ON 75% OUTPUT</t>
  </si>
  <si>
    <t>SUB TOTAL</t>
  </si>
  <si>
    <t>AVAILABLE TIME OF THIS  MONTH PRODUCTION {75%)</t>
  </si>
  <si>
    <t>PLAN OF PRODUCTION/THIS MONTH</t>
  </si>
  <si>
    <t>100PIECE/MINS</t>
  </si>
  <si>
    <t>6L4</t>
  </si>
  <si>
    <t>PPL-8.8</t>
  </si>
  <si>
    <t>A006030101</t>
  </si>
  <si>
    <t>FROM :</t>
  </si>
  <si>
    <t xml:space="preserve">    TO  :</t>
  </si>
  <si>
    <t>PPL-10.9</t>
  </si>
  <si>
    <t>304/7.03</t>
  </si>
  <si>
    <t>GUHA</t>
  </si>
  <si>
    <t>15B25/9.70</t>
  </si>
  <si>
    <t>S008025581</t>
  </si>
  <si>
    <t>AKAY</t>
  </si>
  <si>
    <t>G006030401</t>
  </si>
  <si>
    <t>15B25/11.60</t>
  </si>
  <si>
    <t>L016050201</t>
  </si>
  <si>
    <t>M16X2X50 HHS</t>
  </si>
  <si>
    <t>15B25/15.65</t>
  </si>
  <si>
    <t>PRODUCTION PLANNING</t>
  </si>
  <si>
    <t xml:space="preserve">Date </t>
  </si>
  <si>
    <t>64s</t>
  </si>
  <si>
    <t>M6X1X30  FL</t>
  </si>
  <si>
    <t>PIC.KN</t>
  </si>
  <si>
    <t>15B25/5.75</t>
  </si>
  <si>
    <t>M8X1.2X25 HHS</t>
  </si>
  <si>
    <t>GTI A270</t>
  </si>
  <si>
    <t>84S</t>
  </si>
  <si>
    <t>W008020582</t>
  </si>
  <si>
    <t>M8X1.25X20 SHCS</t>
  </si>
  <si>
    <t>PPL-A270</t>
  </si>
  <si>
    <t>GLOBAL</t>
  </si>
  <si>
    <t>W008020581</t>
  </si>
  <si>
    <t>M8X1.25X25 SHCS</t>
  </si>
  <si>
    <t>22-10-2022 TO 25/10/2022</t>
  </si>
  <si>
    <t>M6X1X30  SHCS</t>
  </si>
  <si>
    <t>KN</t>
  </si>
  <si>
    <t>4140/6.38</t>
  </si>
  <si>
    <t>BEML</t>
  </si>
  <si>
    <t>M10X1.5X35</t>
  </si>
  <si>
    <t>CFB2711035</t>
  </si>
  <si>
    <t>L016090202</t>
  </si>
  <si>
    <t>OMKAR</t>
  </si>
  <si>
    <t>M16X2X95 SHCB</t>
  </si>
  <si>
    <t>PPL-12.9</t>
  </si>
  <si>
    <t>L012100202</t>
  </si>
  <si>
    <t>L010100202</t>
  </si>
  <si>
    <t>M12X1.75X100</t>
  </si>
  <si>
    <t>M10X1.5X80 HHB</t>
  </si>
  <si>
    <t>M10X1.5X100 HHB</t>
  </si>
  <si>
    <t>4140/16.40</t>
  </si>
  <si>
    <t>A016095102</t>
  </si>
  <si>
    <t>M16X2X70 SHCB</t>
  </si>
  <si>
    <t>A016070102</t>
  </si>
  <si>
    <t>PLAN DISPATCH</t>
  </si>
  <si>
    <t>3RD SAMPLES</t>
  </si>
  <si>
    <t>L024070204</t>
  </si>
  <si>
    <t>M24X3X70 HHB</t>
  </si>
  <si>
    <t>15B41/23.60</t>
  </si>
  <si>
    <t>25B4LL</t>
  </si>
  <si>
    <t>SCKL</t>
  </si>
  <si>
    <t>FROM</t>
  </si>
  <si>
    <t>TO</t>
  </si>
  <si>
    <t>M/C NAME: 64S (T01)</t>
  </si>
  <si>
    <t>W.O Date</t>
  </si>
  <si>
    <t>Process Completion Date</t>
  </si>
  <si>
    <t>Dispatch Date</t>
  </si>
  <si>
    <t>S.no</t>
  </si>
  <si>
    <t>Forging Plan</t>
  </si>
  <si>
    <t>PPL-A2-70</t>
  </si>
  <si>
    <t>304/5.20</t>
  </si>
  <si>
    <t>internal stock</t>
  </si>
  <si>
    <t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APPROVED BY:</t>
  </si>
  <si>
    <t xml:space="preserve">TOTAL </t>
  </si>
  <si>
    <t xml:space="preserve"> PRIORITY  OF ITEMS BASED ON THE CUSTOMER URGENCY &amp; NPDS</t>
  </si>
  <si>
    <t>40PIECE/MINS</t>
  </si>
  <si>
    <t>L012050401</t>
  </si>
  <si>
    <t>L012060402</t>
  </si>
  <si>
    <t>PPL-A800</t>
  </si>
  <si>
    <t>L010050401</t>
  </si>
  <si>
    <t>M10X1.5X50 HHS 16A/F</t>
  </si>
  <si>
    <t>L010045401</t>
  </si>
  <si>
    <t>M10X1.5X45 HHS 16A/F</t>
  </si>
  <si>
    <t>L010040401</t>
  </si>
  <si>
    <t>M10X1.5X40 HHS 16A/F</t>
  </si>
  <si>
    <t>L010035401</t>
  </si>
  <si>
    <t>M10X1.5X35 HHS 16A/F</t>
  </si>
  <si>
    <t>A010025401</t>
  </si>
  <si>
    <t>A010030401</t>
  </si>
  <si>
    <t>M10X1.5X25 SHCS</t>
  </si>
  <si>
    <t>M10X1.5X30 SHCS</t>
  </si>
  <si>
    <t>L016065402</t>
  </si>
  <si>
    <t>M16X2X65 HHB</t>
  </si>
  <si>
    <t>L016070402</t>
  </si>
  <si>
    <t>M16X2X70 HHB</t>
  </si>
  <si>
    <t>L016100402</t>
  </si>
  <si>
    <t>M16X2X100 HHB</t>
  </si>
  <si>
    <t>S006010581</t>
  </si>
  <si>
    <t>M6X1X10 HHS</t>
  </si>
  <si>
    <t>S006020581</t>
  </si>
  <si>
    <t>M6X1X20 HHS</t>
  </si>
  <si>
    <t>GTI-A270</t>
  </si>
  <si>
    <t>LAC00010</t>
  </si>
  <si>
    <t>M6X1X15 LSHCB</t>
  </si>
  <si>
    <t>PPL-A 800</t>
  </si>
  <si>
    <t>M6X1X18 HHS</t>
  </si>
  <si>
    <t>PPL-9.8</t>
  </si>
  <si>
    <t>U006020981</t>
  </si>
  <si>
    <t>M6X1X20 SHCS</t>
  </si>
  <si>
    <t>204/5.20</t>
  </si>
  <si>
    <t>U006025981</t>
  </si>
  <si>
    <t>M6X1X25 SHCS</t>
  </si>
  <si>
    <t>U006016581</t>
  </si>
  <si>
    <t>M6X1X16 SHCS</t>
  </si>
  <si>
    <t>U006012781</t>
  </si>
  <si>
    <t>M6X1X12SHCS</t>
  </si>
  <si>
    <t>PPL-A470</t>
  </si>
  <si>
    <t>316/5.20</t>
  </si>
  <si>
    <t>M/C NAME: 6L4 (T03)</t>
  </si>
  <si>
    <t>L010025201</t>
  </si>
  <si>
    <t>M10X1.5X25 HHS 16A/F</t>
  </si>
  <si>
    <t>10B35/9.7</t>
  </si>
  <si>
    <t>L010025401</t>
  </si>
  <si>
    <t>L010030401</t>
  </si>
  <si>
    <t>L010055401</t>
  </si>
  <si>
    <t>L010065401</t>
  </si>
  <si>
    <t>M10X1.5X30 HHS 16A/F</t>
  </si>
  <si>
    <t>M10X1.5X55 HHS 16A/F</t>
  </si>
  <si>
    <t>M10X1.5X65 HHS 16A/F</t>
  </si>
  <si>
    <t>L010020203</t>
  </si>
  <si>
    <t>M10X1.5X20  HHS 17A/F</t>
  </si>
  <si>
    <t>AUTO</t>
  </si>
  <si>
    <t>L010025203</t>
  </si>
  <si>
    <t>M10X1.5X25 HHS 17A/F</t>
  </si>
  <si>
    <t>L010035203</t>
  </si>
  <si>
    <t>M10X1.5X35 HHS 17A/F</t>
  </si>
  <si>
    <t>L010035204</t>
  </si>
  <si>
    <t>M10X1.5X35 HHB 17 A/F</t>
  </si>
  <si>
    <t>L010040204</t>
  </si>
  <si>
    <t>L010050204</t>
  </si>
  <si>
    <t>L010065204</t>
  </si>
  <si>
    <t>L010070204</t>
  </si>
  <si>
    <t>M10X1.5X70 HHB 17 A/F</t>
  </si>
  <si>
    <t>M10X1.5X65 HHB 17 A/F</t>
  </si>
  <si>
    <t>M10X1.5X50 HHB 17 A/F</t>
  </si>
  <si>
    <t>M10X1.5X40 HHB 17 A/F</t>
  </si>
  <si>
    <t>L010065402</t>
  </si>
  <si>
    <t>L010070402</t>
  </si>
  <si>
    <t>M10X1.5X65  HHB 16A/F</t>
  </si>
  <si>
    <t>M10X1.5X70  HHB 16A/F</t>
  </si>
  <si>
    <t>A010040401</t>
  </si>
  <si>
    <t>A010030201</t>
  </si>
  <si>
    <t>V010030201</t>
  </si>
  <si>
    <t>M10X1.5X35 SPL  14A/F</t>
  </si>
  <si>
    <t>M10X1.5X40 SHCS</t>
  </si>
  <si>
    <t>4140/9.7</t>
  </si>
  <si>
    <t>L012050402</t>
  </si>
  <si>
    <t>10B35/11.60</t>
  </si>
  <si>
    <t>M12X1.75X50  HHB 18A/F</t>
  </si>
  <si>
    <t>M12X1.75X60 HHB 18A/F</t>
  </si>
  <si>
    <t>L012030401</t>
  </si>
  <si>
    <t>M12X1.75X30 HHS 18A/F</t>
  </si>
  <si>
    <t>M12X1.75X50 HHS 18A/F</t>
  </si>
  <si>
    <t>L012070202</t>
  </si>
  <si>
    <t>L012110202</t>
  </si>
  <si>
    <t>M12X1.75X110 HHB 18A/F</t>
  </si>
  <si>
    <t>M12X1.75X70 HHB 18A/F</t>
  </si>
  <si>
    <t>L012040201</t>
  </si>
  <si>
    <t>M12X1.75X40 HHS 18A/F</t>
  </si>
  <si>
    <t>L112030203</t>
  </si>
  <si>
    <t>L112035203</t>
  </si>
  <si>
    <t>L112045203</t>
  </si>
  <si>
    <t>L012045203</t>
  </si>
  <si>
    <t>L012050203</t>
  </si>
  <si>
    <t>M12X1.5X30 HHS 19A/F</t>
  </si>
  <si>
    <t>M12X1.5X35 HHS 19A/F</t>
  </si>
  <si>
    <t>M12X1.5X45 HHS 19A/F</t>
  </si>
  <si>
    <t>M12X1.75X45 HHS 19A/F</t>
  </si>
  <si>
    <t>M12X1.75X50 HHS 19A/F</t>
  </si>
  <si>
    <t>M/C NAME: 254LL (T05)</t>
  </si>
  <si>
    <t>L020070402</t>
  </si>
  <si>
    <t>L020090402</t>
  </si>
  <si>
    <t>L020140402</t>
  </si>
  <si>
    <t>M20X2.5X70 HHB</t>
  </si>
  <si>
    <t>M20X2.5X90 HHB</t>
  </si>
  <si>
    <t>M20X2.5X140 HHB</t>
  </si>
  <si>
    <t>L024150402</t>
  </si>
  <si>
    <t>L024160402</t>
  </si>
  <si>
    <t>L024100402</t>
  </si>
  <si>
    <t>L024120402</t>
  </si>
  <si>
    <t>M24X3X150 HHB</t>
  </si>
  <si>
    <t>M24X3X160 HHB</t>
  </si>
  <si>
    <t>M24X3X100 HHB</t>
  </si>
  <si>
    <t>M24X3X120 HHB</t>
  </si>
  <si>
    <t>10B35/19.65</t>
  </si>
  <si>
    <t>M20X2.5X120 HHB</t>
  </si>
  <si>
    <t>15B41/19.6</t>
  </si>
  <si>
    <t>CFB0222020</t>
  </si>
  <si>
    <t>CFB0122095</t>
  </si>
  <si>
    <t>M20X2.5X95 HHB</t>
  </si>
  <si>
    <t>CFB0122480</t>
  </si>
  <si>
    <t>CFB0222475</t>
  </si>
  <si>
    <t>CFB0222445</t>
  </si>
  <si>
    <t>CFS0132470</t>
  </si>
  <si>
    <t>CFS0132460</t>
  </si>
  <si>
    <t>CFB0222400</t>
  </si>
  <si>
    <t>M24X3X80 HHB</t>
  </si>
  <si>
    <t>M24X3X175 HHB</t>
  </si>
  <si>
    <t>M24X3X145 HHB</t>
  </si>
  <si>
    <t>M24X3X70 HHS</t>
  </si>
  <si>
    <t>M24X3X60 HHS</t>
  </si>
  <si>
    <t>CFB0722790</t>
  </si>
  <si>
    <t>M27X3X90 HHB</t>
  </si>
  <si>
    <t>15B41/26.6</t>
  </si>
  <si>
    <t>L012040401</t>
  </si>
  <si>
    <t>L012055401</t>
  </si>
  <si>
    <t>M12X1.75X55 HHS 18A/F</t>
  </si>
  <si>
    <t>L114045204</t>
  </si>
  <si>
    <t>L114050204</t>
  </si>
  <si>
    <t>L114070204</t>
  </si>
  <si>
    <t>L014050204</t>
  </si>
  <si>
    <t>L014060204</t>
  </si>
  <si>
    <t>L014065204</t>
  </si>
  <si>
    <t>M14X1.5X35 HHB 22A/F</t>
  </si>
  <si>
    <t>M14X1.5X40 HHB 22A/F</t>
  </si>
  <si>
    <t>M14X1.5X45 HHB 22A/F</t>
  </si>
  <si>
    <t>M14X1.5X50 HHB 22A/F</t>
  </si>
  <si>
    <t>M14X1.5X60 HHB 22A/F</t>
  </si>
  <si>
    <t>M14X1.5X65 HHB 22A/F</t>
  </si>
  <si>
    <t>M14X1.5X70 HHB 22A/F</t>
  </si>
  <si>
    <t>M14X1.5X75 HHB 22A/F</t>
  </si>
  <si>
    <t>M14X2X50 HHB 22A/F</t>
  </si>
  <si>
    <t>M14X2X60 HHB 22A/F</t>
  </si>
  <si>
    <t>M14X2X65 HHB 22A/F</t>
  </si>
  <si>
    <t>CFB0721425</t>
  </si>
  <si>
    <t>CFB0721440</t>
  </si>
  <si>
    <t>CFB0821410</t>
  </si>
  <si>
    <t>CFB1751440</t>
  </si>
  <si>
    <t>CFS1321455</t>
  </si>
  <si>
    <t>CFS1331435</t>
  </si>
  <si>
    <t>CFS1431410</t>
  </si>
  <si>
    <t>M14X2X25 HHS 21A/F</t>
  </si>
  <si>
    <t>M14X2X40 HHB 21 A/F</t>
  </si>
  <si>
    <t>TK250</t>
  </si>
  <si>
    <t>Size</t>
  </si>
  <si>
    <t>Length</t>
  </si>
  <si>
    <t>Pitch</t>
  </si>
  <si>
    <t>A/F</t>
  </si>
  <si>
    <t>M14X2X110 HHB 21 A/F</t>
  </si>
  <si>
    <t xml:space="preserve">M14X2X55 SHCS </t>
  </si>
  <si>
    <t xml:space="preserve">M14X2X35 SHCS </t>
  </si>
  <si>
    <t>M14X2X100 SHCB</t>
  </si>
  <si>
    <t>M14X1.5X40 HHB 21A/F</t>
  </si>
  <si>
    <t>L012020203</t>
  </si>
  <si>
    <t>V012040204</t>
  </si>
  <si>
    <t>L012075204</t>
  </si>
  <si>
    <t>L012090204</t>
  </si>
  <si>
    <t>L112065204</t>
  </si>
  <si>
    <t>L112075204</t>
  </si>
  <si>
    <t>L112100204</t>
  </si>
  <si>
    <t>L112120204</t>
  </si>
  <si>
    <t>M12X1.75X20 HHS</t>
  </si>
  <si>
    <t xml:space="preserve">M12X1.75X40 HHB </t>
  </si>
  <si>
    <t xml:space="preserve">M12X1.5X30 HHS  </t>
  </si>
  <si>
    <t xml:space="preserve">M12X1.5X35 HHS  </t>
  </si>
  <si>
    <t xml:space="preserve">M12X1.5X45 HHS  </t>
  </si>
  <si>
    <t>M12X1.5X65 HHB</t>
  </si>
  <si>
    <t>M12X1.5X75 HHB</t>
  </si>
  <si>
    <t>M12X1.5X100 HHB</t>
  </si>
  <si>
    <t>M12X1.5X120 HHB</t>
  </si>
  <si>
    <t>G116033981</t>
  </si>
  <si>
    <t>M16X1.5X33</t>
  </si>
  <si>
    <t>204/17.40</t>
  </si>
  <si>
    <t>G110027981</t>
  </si>
  <si>
    <t>m10x1.5x27</t>
  </si>
  <si>
    <t>204/13.65</t>
  </si>
  <si>
    <t>G110020981</t>
  </si>
  <si>
    <t>G110022981</t>
  </si>
  <si>
    <t>m10x1.5x22.8</t>
  </si>
  <si>
    <t>m10x1.5x20(30)</t>
  </si>
  <si>
    <t>m10x1.5x20(36)</t>
  </si>
  <si>
    <t>L016045201</t>
  </si>
  <si>
    <t>L016050202</t>
  </si>
  <si>
    <t>L116030201</t>
  </si>
  <si>
    <t>L116045201</t>
  </si>
  <si>
    <t>L116050202</t>
  </si>
  <si>
    <t>L116060202</t>
  </si>
  <si>
    <t>L116070202</t>
  </si>
  <si>
    <t>L116100202</t>
  </si>
  <si>
    <t>L116110202</t>
  </si>
  <si>
    <t>L116130202</t>
  </si>
  <si>
    <t>M16X1.5X50 HHB</t>
  </si>
  <si>
    <t>M16X1.5X60 HHB</t>
  </si>
  <si>
    <t>M16X1.5X70 HHB</t>
  </si>
  <si>
    <t>M16X1.5X100 HHB</t>
  </si>
  <si>
    <t>M16X1.5X110 HHB</t>
  </si>
  <si>
    <t>M16X1.5X130 HHB</t>
  </si>
  <si>
    <t>M16X2X45 HHS</t>
  </si>
  <si>
    <t>M16X1.5X30 HHS</t>
  </si>
  <si>
    <t>M16X1.5X45 HHS</t>
  </si>
  <si>
    <t>M16X2X50 HHB</t>
  </si>
  <si>
    <t>COMPLETED</t>
  </si>
  <si>
    <t>U/ PROCESS</t>
  </si>
  <si>
    <t>CRITICIAL/ ISSUES</t>
  </si>
  <si>
    <t>V01035 202</t>
  </si>
  <si>
    <t>M10X1.5X35 GUIDE BOLT</t>
  </si>
  <si>
    <t>DATE</t>
  </si>
  <si>
    <t>S.NO</t>
  </si>
  <si>
    <t>TARGET</t>
  </si>
  <si>
    <t>(MOM)
PROBLEM DESCRIPTION</t>
  </si>
  <si>
    <t>OPERATOER LEAVE POLICY</t>
  </si>
  <si>
    <t>HR</t>
  </si>
  <si>
    <t>164S MAINTENANCE ACTIVITY PLAN</t>
  </si>
  <si>
    <t>64S MAINTENANCE ACTIVITY PLAN</t>
  </si>
  <si>
    <t>PARAMA</t>
  </si>
  <si>
    <t>PRODUCTION CONSUMABLES SPARES INDENT TO BE HAND OVER TO CONCERN DEPARTMENT</t>
  </si>
  <si>
    <t>DILLI</t>
  </si>
  <si>
    <t xml:space="preserve">PRODUCTION MACHINE WISE PLAN TO BE CIRCULATE FOR CONCERN DEPARTMENT </t>
  </si>
  <si>
    <t>DEPT</t>
  </si>
  <si>
    <t>ACTION</t>
  </si>
  <si>
    <t>RESP</t>
  </si>
  <si>
    <t>STATUS</t>
  </si>
  <si>
    <t>OPEN</t>
  </si>
  <si>
    <t>MNT</t>
  </si>
  <si>
    <t xml:space="preserve">84S MAINTENANCE ACTIVITY PLAN, </t>
  </si>
  <si>
    <t>DETAILED ACTIVITY PLAN WILL BE MADE &amp; GET IT REVIEW</t>
  </si>
  <si>
    <t>PROD</t>
  </si>
  <si>
    <t>TK250 CUTTER BROKEN</t>
  </si>
  <si>
    <t>WELDING WORK DONE</t>
  </si>
  <si>
    <t>84S MAIN MOTOR BREAKDOWN DUE TO BEARING ISSUE</t>
  </si>
  <si>
    <t>ARRANGE THE SLEEVE &amp; BEARINGS AND CLEAR THE ISSUE</t>
  </si>
  <si>
    <t>STEP WISE ACTION TO BE MADE TO TAKE OUT THE SLEEVEAND DRIVE THE DRAWING (6HR)</t>
  </si>
  <si>
    <t>HEAT EXCHANGER  PROBLEM-HT</t>
  </si>
  <si>
    <t xml:space="preserve">HEAT EXCHANGER CLEANING &amp; RE ASSEMBLY </t>
  </si>
  <si>
    <t>ANBOND MIN STOCK TO BE UPDATE IN MNT CONSUMABLE LIST</t>
  </si>
  <si>
    <t>DPR 8S1 MOTOR RE ASSEMBLY WORK</t>
  </si>
  <si>
    <t>FITTED IN MACHINE</t>
  </si>
  <si>
    <t xml:space="preserve">64S MACHINE NPD PLAN </t>
  </si>
  <si>
    <t>MAKE A DETAILED TIME PLAN AND RELEASE</t>
  </si>
  <si>
    <t>TK250 SLIDING PUNCH DRAWING  APPROVAL PENDING</t>
  </si>
  <si>
    <t>PUNCH &amp; PIN DRAWING  RELEASE</t>
  </si>
  <si>
    <t>GRUINDER</t>
  </si>
  <si>
    <t>PUR</t>
  </si>
  <si>
    <t xml:space="preserve">RM ARRIVAL SCHEDULE </t>
  </si>
  <si>
    <t>RECEIPT TIMING &amp; QTY TO BE CONFIRMED</t>
  </si>
  <si>
    <t>RAJESH</t>
  </si>
  <si>
    <t>STR</t>
  </si>
  <si>
    <t>OUTSOURCES MATERIAL SHOTAGE PROBLEM</t>
  </si>
  <si>
    <t>MENTION THE WEIGHT IN THE TAG WHILE DISPATCHING TO SECONDARY OPERATIONS</t>
  </si>
  <si>
    <t>NAGARAJ</t>
  </si>
  <si>
    <t>NEXT LOT</t>
  </si>
  <si>
    <t>M6 X1X12 PHS DIE CHIPOFF 1ST  STATION (LIFE ACHIVED 20000 NOS)</t>
  </si>
  <si>
    <t>CHIFOFF ROOT CAUSE ANALIYSIS TO BE DONE</t>
  </si>
  <si>
    <t>29.03.2024</t>
  </si>
  <si>
    <t xml:space="preserve">ITI FRESHER RECUREMENT </t>
  </si>
  <si>
    <t>10 MEMBERS PLANNING TO BE INITIATED</t>
  </si>
  <si>
    <t xml:space="preserve">3RD STN PUNCH LOCKING SCREW  DEMAGED </t>
  </si>
  <si>
    <t xml:space="preserve"> REPAIR BY WELDEING  AND RE TAPPING </t>
  </si>
  <si>
    <t xml:space="preserve">PERMENT ACTION TO BE REPORTED </t>
  </si>
  <si>
    <t>TRUB MACHINE OUTPUT GAP</t>
  </si>
  <si>
    <t>NEED TO VERFIY THE LOG BOOK</t>
  </si>
  <si>
    <t>MANPOWER ISSUE</t>
  </si>
  <si>
    <t>30.03.2024</t>
  </si>
  <si>
    <t xml:space="preserve">TK250 DIES &amp; TOOLS  DIE BROKEN NO SPARE STOCKS </t>
  </si>
  <si>
    <t>PARAMA/RAJESH</t>
  </si>
  <si>
    <t>M6X1X12 PHS ORDER CANCEL FORM CUSTOMER DUE SUPPLY FAILUARE</t>
  </si>
  <si>
    <t>TOOL INDENT NEED TO RASIE TODAY &amp; PURCHASE ON URGENT BASIS</t>
  </si>
  <si>
    <t>EXISTING  TOOL COUNTER MEASURE DESIGN CHANGE  8 NOS NEED TO ORDER</t>
  </si>
  <si>
    <t>64S M5X0.8X13 FL SHORT CLOSE DUE TO SLIDING PUNCH BROKEN</t>
  </si>
  <si>
    <t xml:space="preserve"> PROCUREMENT OF NEW PUNCH &amp; NEW NPD PLAN TAKEN(SPHERICAL FL)</t>
  </si>
  <si>
    <t>1ST TROP DIE NOT AVAILABLE</t>
  </si>
  <si>
    <t>NEW TROP DIES ORDERED (5 NOS)</t>
  </si>
  <si>
    <t>HEADING PUNCH NOT ISSUEN DUE TO IMPROPER ASSEMBLY</t>
  </si>
  <si>
    <t>ASSEMBLY METHODLOGY TO BE STANDARDISED AND TRAINED</t>
  </si>
  <si>
    <t>DPR 8S TRACK MODIFICATION REQUIRED</t>
  </si>
  <si>
    <t>TRACK LEVELING  REQUIRED( OUTSOURCES ACTIVITY)</t>
  </si>
  <si>
    <t>2 MONTH</t>
  </si>
  <si>
    <t>TOOL &amp; CUTTER SPLINDLE BEARING NOISE</t>
  </si>
  <si>
    <t>NEED TO REPLACE WITH NEW BEARINGS</t>
  </si>
  <si>
    <t>CRANE PARTS PROCUREMENT AND ASSEMBLY</t>
  </si>
  <si>
    <t>PARTS  TO BE ORDERED PROJECT TO BE COMPLETED</t>
  </si>
  <si>
    <t xml:space="preserve">NOTICE BOARD ORDERING </t>
  </si>
  <si>
    <t>PO NEED TO CONFIRM  TODAY</t>
  </si>
  <si>
    <t>ST</t>
  </si>
  <si>
    <t xml:space="preserve"> METALMAN AUDIT POINT CLOSER INTERNALLY</t>
  </si>
  <si>
    <t>SUMBIT ACTION PLAN TO QA</t>
  </si>
  <si>
    <t>M10X1.5 SS SERIES PRODUCT SHORT CLOSE DUE TO RM SHORTAGE</t>
  </si>
  <si>
    <t>MATERIAL INTRANSIT</t>
  </si>
  <si>
    <t xml:space="preserve">25B4LL MACHINE SPRE  GOT DAMEGE </t>
  </si>
  <si>
    <t>EXTERNAL SERVICES TO BE PLANNED</t>
  </si>
  <si>
    <t>M8X1.25X20 PRODUCTS FINGER MARKS PROBLEM B DUE TO PLAY IN TRANSFER UINTS &amp; FINGER DIEMENSION  DESIGN ISSUE  &amp; SETTING  ISSUE</t>
  </si>
  <si>
    <t xml:space="preserve"> ROOTCAUSE TO BE REVIWED FOR ACTION</t>
  </si>
  <si>
    <t xml:space="preserve">M10X1.5  SS SERIES PRODUCT A/C DAMEGE </t>
  </si>
  <si>
    <t>HT</t>
  </si>
  <si>
    <t>SATIN FINISHIG LINE  ACTIVITY</t>
  </si>
  <si>
    <t>PLAN NEED TO BE  PREPARE REALSE</t>
  </si>
  <si>
    <t>RAJU/SAMY</t>
  </si>
  <si>
    <t>RAJESH/DILLI</t>
  </si>
  <si>
    <t>6L4- 3RD STN EXTRUSION DIE NOT AVILABLE</t>
  </si>
  <si>
    <t>NEED TO BE PURCHASE</t>
  </si>
  <si>
    <t>QA</t>
  </si>
  <si>
    <t>RING GAUGES PURCHASE</t>
  </si>
  <si>
    <t>RING GAUGES TO BE ARRANGED</t>
  </si>
  <si>
    <t>BY DISCUSSING WITH SUPPLIER TARGET DATE TO BE REPORTED</t>
  </si>
  <si>
    <t>LACTOTITE OPERATORS TRAINING</t>
  </si>
  <si>
    <t>FOR QULAITY CONFIRMATION WITH OK-NG MASTER SAMPLES TO BE MADE</t>
  </si>
  <si>
    <t>SAMI</t>
  </si>
  <si>
    <t>REGULAR INFORMATION TO BE DONE</t>
  </si>
  <si>
    <t>TOOLS ORDERED</t>
  </si>
  <si>
    <t>PENDING</t>
  </si>
  <si>
    <t>AWAITIG FOR APPROVAL</t>
  </si>
  <si>
    <t>NEED TOOL INDENT</t>
  </si>
  <si>
    <t>DILLI/NARASIMHA</t>
  </si>
  <si>
    <t>FOLLOWUP FOR M/C RECEIT &amp; TRAILS</t>
  </si>
  <si>
    <t>M6 KNURLING TOOLS ISSUE ON SETTING</t>
  </si>
  <si>
    <t>DESIGN REVIEW REQUIRED &amp; CFT</t>
  </si>
  <si>
    <t>84S PUNCH LOCKING SCREW BROKEN CONTINUE</t>
  </si>
  <si>
    <t>SCREW TO BE ARRANGE</t>
  </si>
  <si>
    <t>M14,M12 NUT TOOL STATUS</t>
  </si>
  <si>
    <t>M5 PHS PINS CONTINUE BROKEN</t>
  </si>
  <si>
    <t xml:space="preserve">DESIGN ACTION COMPLETED &amp; PIN ORDERED </t>
  </si>
  <si>
    <t>DD BOLT  CUSTOMER  COMPLIANT</t>
  </si>
  <si>
    <t>DD BOLT  PLAN SUBMISSION</t>
  </si>
  <si>
    <t>PLAN NEED TO SEND TO VENDOR</t>
  </si>
  <si>
    <t>PPC</t>
  </si>
  <si>
    <t>LOCTITE MACHINE CAPACITY SHEET</t>
  </si>
  <si>
    <t>PREPARE AND RELEASE</t>
  </si>
  <si>
    <t xml:space="preserve">RAJU </t>
  </si>
  <si>
    <t>PARANDAMA</t>
  </si>
  <si>
    <t>TEMPORARY M5 PINS  TO BE ORDERED</t>
  </si>
  <si>
    <t>TURNING BITS REQUIRED( TRUB)</t>
  </si>
  <si>
    <t>DESIGN REVIEW AND NEW DIE PROCUREMENT AS PER NEW DESIGN</t>
  </si>
  <si>
    <t>GURINDER/PARANDAM</t>
  </si>
  <si>
    <t>NEW DIE ORDERED TO BE RECEIVED(3 NO'S)</t>
  </si>
  <si>
    <r>
      <t>64S MACHINE NPD LAC00010-SLHCS-M6 X 15,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AND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STATION DIE TRD NOT MATCHING</t>
    </r>
  </si>
  <si>
    <t>84S MACHINE-PUNCH CASE &amp; SAFETY BOLT BROKEN</t>
  </si>
  <si>
    <t>PKO TO BE CHECKED &amp; PUNCH CASE LOCKING SLOT DEPTH TO BE CHECKED</t>
  </si>
  <si>
    <t>DILLI/PARANDAMA</t>
  </si>
  <si>
    <t>M16X1.5 NUT,TAP BITS REQUIRED</t>
  </si>
  <si>
    <t xml:space="preserve">TAP BITS TO ORDERED </t>
  </si>
  <si>
    <t>PARANDAMA/RAJESH</t>
  </si>
  <si>
    <t>REPORT TO BE RELEASED</t>
  </si>
  <si>
    <t>ACCIDENT OCCURED IN PLANT ON 20-APRIL</t>
  </si>
  <si>
    <t>HAND GLOVES SHORTAGE</t>
  </si>
  <si>
    <t>NORMS TO BE DIFINED FOR MINIMUM QTY'S TO BE AVILABLE</t>
  </si>
  <si>
    <t>SHORT FEED SENSOR IN 84S</t>
  </si>
  <si>
    <t>UMA MAHESH</t>
  </si>
  <si>
    <t>TO BE ACTIVATED TO AVOID THE SHORT FEED ISSUE</t>
  </si>
  <si>
    <t>FEEDING GEAR WHEEL TEETH WEAR COMING</t>
  </si>
  <si>
    <t xml:space="preserve">TO OPEN THE GEAR WHEEL AND CHECK THE CONDITION </t>
  </si>
  <si>
    <t>HEADER NOT WORKING DUE TO ELECTRICAL ISSUE</t>
  </si>
  <si>
    <t>TO BE CONSULTED WITH THE SERVICE PERSON</t>
  </si>
  <si>
    <t>TO BE PROCURED</t>
  </si>
  <si>
    <r>
      <t>JY BOLT 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STATION DIE AND CASE STOCK ISSUE</t>
    </r>
  </si>
  <si>
    <t>PKO IS CORRECT,SHORT FEED ISSUE</t>
  </si>
  <si>
    <t>MKTG</t>
  </si>
  <si>
    <t>8D SUBMISSION FOR CFB2510816 HEX BOLT</t>
  </si>
  <si>
    <t>8D REPORT TO BE PROVIDED BY MARKETING</t>
  </si>
  <si>
    <t>BALAKRISHNA</t>
  </si>
  <si>
    <t>RAJESH/PRANDAMA</t>
  </si>
  <si>
    <t>64S PUNCH BLOCK TO BE ORDERED</t>
  </si>
  <si>
    <t>PO TO BE RELASED ON PRIORITY</t>
  </si>
  <si>
    <t>84S TO BE RELEASED TO MAINTENCE ON 25-APRIL-2024 IN SECOND HALF</t>
  </si>
  <si>
    <t>84S MAINTENCE PLAN</t>
  </si>
  <si>
    <t>PARANDAAMA</t>
  </si>
  <si>
    <t>SUMMARY TO BE CONSALIDATED AND SUBMITTED TO THE TEAM</t>
  </si>
  <si>
    <t>JY-KAIZEN-TRIM DIE LIFE</t>
  </si>
  <si>
    <t>CLOCKS AT SHOP FLOOR</t>
  </si>
  <si>
    <t>NEW CLOCKS TO BE PROCURE AND DISPLAY AT OPERATION AREAS</t>
  </si>
  <si>
    <t>M10X1.25X22.8 SNAP GAUGE USE IN LINE</t>
  </si>
  <si>
    <t>GAUGE STOCK (ROR) INCREASED</t>
  </si>
  <si>
    <t>TOOL</t>
  </si>
  <si>
    <t>M10X1.25X27 TRIMMING HEAD BEND DUE TO MORE LOAD ON CUTTING</t>
  </si>
  <si>
    <t>CUTTING FORCE REDUCE BY ADDING WASHER AT 3RD STN</t>
  </si>
  <si>
    <t>DH--TRIM DIE -KAIZEN TRAIL</t>
  </si>
  <si>
    <t xml:space="preserve">H.T RM ARRIVAL SCHEDULE </t>
  </si>
  <si>
    <t>FOLLOWUP FOR M24 COILS</t>
  </si>
  <si>
    <t>SECONDARY OPEARATION CONSUMABLE LIST &amp; WEAR PARTS DETAILS</t>
  </si>
  <si>
    <t xml:space="preserve">PREPARE AND RELEASE </t>
  </si>
  <si>
    <t>NAGA</t>
  </si>
  <si>
    <t>HR TO RECORD PRESENT THE ATTENDANCE FOR TRACING</t>
  </si>
  <si>
    <t>MEETING DETAIILS</t>
  </si>
  <si>
    <t>NEGOCIATE DATE WITH SUPPLIER FOR EARLIY RECEIPT. EXCEPT MATERIAL 07/05/2024</t>
  </si>
  <si>
    <t>WILL BE REVERTED BY 23-APRIL.PI RECEIVED WILL COME</t>
  </si>
  <si>
    <t>COLONY  - POINTING MACHINE SHIFTING</t>
  </si>
  <si>
    <t>TO BE SHIFITED TO PLANT &amp; COMMISION</t>
  </si>
  <si>
    <t>TOOLS/ SPARES/DIES ORDERING RESPONSIBILITY DEFINE</t>
  </si>
  <si>
    <t>CHECK THE CURRENT PROCEDURE</t>
  </si>
  <si>
    <t>BRIJESH</t>
  </si>
  <si>
    <t>M24 MTE HHB PLAN FOR SINGLE ROLLING DUE TO QA  ISSUE WE ARE PLANNING DOUBLE ROLLING</t>
  </si>
  <si>
    <t>MACHINE HANDOVER TO MNT BASED ON PRODUCTION PLAN &amp; TIMING PLAN 164S</t>
  </si>
  <si>
    <t>NEAR TO CHECKNUT PUT A WELDING POT AND RUN THE LINE</t>
  </si>
  <si>
    <t>NEED TO ORDERED FOR M6 3 NOS</t>
  </si>
  <si>
    <t>TK250-M5 2ND PUNCH INSERT</t>
  </si>
  <si>
    <t>ORDERED FOR 70 NOS</t>
  </si>
  <si>
    <t xml:space="preserve"> TARGET DATE TO BE CONFIRMED</t>
  </si>
  <si>
    <t>LAC-59 DETAILS  DISPATCH PLAN</t>
  </si>
  <si>
    <t>FROM INPUT TO DISPATCH</t>
  </si>
  <si>
    <t>RM  SHORTAGE ISSUE</t>
  </si>
  <si>
    <t>FOR M24/M8/M14/M16 /M10 RM TO BE ORDERDED</t>
  </si>
  <si>
    <t>THREADED BUSH ORDER AND REPLACE</t>
  </si>
  <si>
    <t>M16- ROLLING MACHINE MNT ( THREAD DAMAGE)</t>
  </si>
  <si>
    <t>CLOSE</t>
  </si>
  <si>
    <t>REVEISION REQUIRED</t>
  </si>
  <si>
    <t>RAMPLAY PROBLEM</t>
  </si>
  <si>
    <t>RPO OIL/PACKING MATERIALS</t>
  </si>
  <si>
    <t>RAJESH/NAGARAJ</t>
  </si>
  <si>
    <t xml:space="preserve"> APRIL -24 INDENTED MATERIAL  TO BE RECEIVED</t>
  </si>
  <si>
    <t>M16-ROLLER STUCK UP AND WEAR OUT</t>
  </si>
  <si>
    <t>PB MATERIAL ROLLERS TO BE DEVELOPED</t>
  </si>
  <si>
    <t>DPR8 ROLLING MACHINE SERVICE</t>
  </si>
  <si>
    <t>PLAN TO BE MADE AND PROBLEM POINTS TO BE RECTIFIED</t>
  </si>
  <si>
    <t>DERIVE THE PLAN AND DECIDE THE TARGET DATE</t>
  </si>
  <si>
    <t>COTTON WASTER-SHORTAGE</t>
  </si>
  <si>
    <t xml:space="preserve">PROCUREMENT TEAM TO ORDER </t>
  </si>
  <si>
    <t>BAJAJ AUDIT-FEEDBACK</t>
  </si>
  <si>
    <t>MEETING TO BE CALLED</t>
  </si>
  <si>
    <t>OPERATOR TRAINING</t>
  </si>
  <si>
    <t>HT PLAN TO BE RELEASED</t>
  </si>
  <si>
    <t>ORDER AND RECIPT STATUS TO BE CONFIRMED</t>
  </si>
  <si>
    <t>POWER FAILURE ISSUE</t>
  </si>
  <si>
    <t>FLASH REPORT WITH ACTION PLAN TO BE RELEASED</t>
  </si>
  <si>
    <t>6L4/164S-ARM SPARES REQUIRED</t>
  </si>
  <si>
    <t>M10-DIA 36 COLLAR</t>
  </si>
  <si>
    <t>DEVIATION NOTE BE RAISED</t>
  </si>
  <si>
    <t>OPERATOR TRAINING TO MODIFY</t>
  </si>
  <si>
    <t>REVIEW AND SUBMIT BY 18-MAY-24</t>
  </si>
  <si>
    <t>HARI</t>
  </si>
  <si>
    <t>JY CRITICAL DISPATCH</t>
  </si>
  <si>
    <t>15K TO BE SENT 20-MAY</t>
  </si>
  <si>
    <t>PENDING ORDER TO BE MADE</t>
  </si>
  <si>
    <t>PLAN AND REVIEW</t>
  </si>
  <si>
    <t>NPD PLAN V/S ACTUAL</t>
  </si>
  <si>
    <t>PLAN AND REVIEW WITH VP</t>
  </si>
  <si>
    <t>PARAM</t>
  </si>
  <si>
    <t xml:space="preserve">M20 PARTS ROLLING </t>
  </si>
  <si>
    <t>PLAN AT HYDERABAD ON URGENT BASIS</t>
  </si>
  <si>
    <t>UNDER PROGRESS</t>
  </si>
  <si>
    <t>OPERATOR SKILL MATRIX</t>
  </si>
  <si>
    <t>CURRENT PRACTICE DOCUMENTS TO BE SHOWN</t>
  </si>
  <si>
    <t>DILLI:AS DISCUSSED WITH MD TO BE TAKEN UP AT INHOUSE</t>
  </si>
  <si>
    <t>FIRST STN PLAIN BORE DIE NOT AVILABLE</t>
  </si>
  <si>
    <t>FIRST STN PLAIN BORE DIE TO BE PROCURED, M14 PLAIN BORE DIE COVERTING INTO M10 FLANGES,</t>
  </si>
  <si>
    <t>M14 PLAIN BORE DIE TO BE ORDFERED(5 NO'S)</t>
  </si>
  <si>
    <t>PLAN TO MAKE SUBMIT</t>
  </si>
  <si>
    <t>DATE REVISED TO 22-MAY</t>
  </si>
  <si>
    <t>84S-FEEDING AND STRAIGHTNER</t>
  </si>
  <si>
    <t>BRASS ROLLER ORDERED WILL UPDATE THE STAUS</t>
  </si>
  <si>
    <t>164S-FEEDING AND STRAIGHTNER</t>
  </si>
  <si>
    <t>DH-PREPOINTING DIE REQUIRED</t>
  </si>
  <si>
    <t xml:space="preserve">PREPOINTING DIE TO BE OREDERED </t>
  </si>
  <si>
    <r>
      <t>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&amp;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STATION DIES REQUIRED</t>
    </r>
  </si>
  <si>
    <r>
      <t>DH-2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&amp;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STATION DIES REQUIRED</t>
    </r>
  </si>
  <si>
    <t>UPDATE BY 21-MAY</t>
  </si>
  <si>
    <t>MEETING WILL BE CALLED BY 21-MAY</t>
  </si>
  <si>
    <t>TK250 MACHINE RAM PLAY(WORN OUT)</t>
  </si>
  <si>
    <t>64S TRANSFER CASE PLAY</t>
  </si>
  <si>
    <t>CIRCULAR SIM ADJUSTMENTS TEMPORARLY</t>
  </si>
  <si>
    <t>164S/84S/6L4 ROLLER REQUIRED</t>
  </si>
  <si>
    <t>164S/84S/6L4 ROLLER ORDERED-STATUS UPDATE REQUIRED</t>
  </si>
  <si>
    <t>EACH SIZE WISE ARRIVAL SCHUDELE WILL UPDATE ON 21-MAY</t>
  </si>
  <si>
    <t>DPR SEPARATERS SPRING REQUIRED</t>
  </si>
  <si>
    <t>SPRINGS TO BE PROCURED AND UPDATE THE STATUS</t>
  </si>
  <si>
    <t>JUNE MONTH SCHUDELES RM ORDERING</t>
  </si>
  <si>
    <t>ORDERING TO BE REVIEWED AND PROCURED</t>
  </si>
  <si>
    <t>JUNE MONTH SCHUDELES TOOL ORDERING</t>
  </si>
  <si>
    <t>EMPLOYEES ID CARD PLAN</t>
  </si>
  <si>
    <t xml:space="preserve">ID CARDS WILL BE ARRANGED </t>
  </si>
  <si>
    <t>NIGHT SHIFT POWER OFF</t>
  </si>
  <si>
    <t>UTILITY TEAM HAS TO REVIEW AND POWER OFF THE LIGHTS WHICH IS UNSED</t>
  </si>
  <si>
    <t>164S - OEE LOSSES</t>
  </si>
  <si>
    <t>NEED TO PREPARE AND SUBMITE THE MANAGEMENT</t>
  </si>
  <si>
    <t>PRD</t>
  </si>
  <si>
    <t>EACH COIL WEIGHT NEED TO DEMAND FROM SUPPLIER</t>
  </si>
  <si>
    <t>COIL WEIGHT</t>
  </si>
  <si>
    <t>RM STANDS</t>
  </si>
  <si>
    <t>RM STANDS REQUIRED</t>
  </si>
  <si>
    <t>DILLI/RAJESH</t>
  </si>
  <si>
    <t>USED OIL REUSE</t>
  </si>
  <si>
    <t>USED COLD FORGING OIL FOR REFILLING PURPOSE CAN BE USED OR NOT TO BE TAKEN CONSULATION</t>
  </si>
  <si>
    <t>164S-DH BOLT-1ST &amp; 2ND STATION DIE MATCHING ISSUE AND POOR LIFE</t>
  </si>
  <si>
    <t>DIE KAIZEN WILL BE IMPLEMENTED FOR 2 LOTS AND FINAL REPORT</t>
  </si>
  <si>
    <t xml:space="preserve">BUFFING OUTPUT ISSUE </t>
  </si>
  <si>
    <t>MANPOWER TO BE INCREASED</t>
  </si>
  <si>
    <t>ESWAR/HARI</t>
  </si>
  <si>
    <t>25-05-2024 WILL SUBMIT THE DATE</t>
  </si>
  <si>
    <t>M8X16 &amp; 30 BUTTON HEAD FORGING PENDING</t>
  </si>
  <si>
    <t>3rd PUNCH INSERT REQUIRED</t>
  </si>
  <si>
    <t>CANNOT BE USED FOR COLD FORGING</t>
  </si>
  <si>
    <t>M8 KNURLING DIES TO BE PURCHASED</t>
  </si>
  <si>
    <t>M8X25 (A800) SOCKET KNURLING PENDING</t>
  </si>
  <si>
    <t>QUENCH OIL ISSUE</t>
  </si>
  <si>
    <t xml:space="preserve">PURIFICATION ACTIVITY TO BE INTEATED </t>
  </si>
  <si>
    <t>RAJU</t>
  </si>
  <si>
    <t>FLANGE BOLT M16X1.5X100 &amp; 80 FORGING PENDING</t>
  </si>
  <si>
    <t>TARGET DATE TO BE DECIDED BY 27-05-2024.</t>
  </si>
  <si>
    <t>DD BOLT GUAGE ISSUE</t>
  </si>
  <si>
    <t>GAUGE TO BE REWORKED</t>
  </si>
  <si>
    <t>DD BOLT 16A/F &amp; 19A/F ONE SET OF GAUAGES</t>
  </si>
  <si>
    <t>DD BOLT 16A/F &amp; 19A/F ONE SET OF GAUAGES TO BE ORDERED</t>
  </si>
  <si>
    <t>BRIJESH/SAMI</t>
  </si>
  <si>
    <t>M10 THREAD ROLLING DIES NOT AVILABLE</t>
  </si>
  <si>
    <t>M16 THREAD ROLLING DIES NOT AVILABLE</t>
  </si>
  <si>
    <t>DIES ARE AT SUPPLIER END TO BE DISPATCHED</t>
  </si>
  <si>
    <t>QULAITY MONTH TO BE CELEBTRATED IN 2024</t>
  </si>
  <si>
    <t>IT IS SHOULD BE PLANNED AT DEPLOYED ACROSS PLANT</t>
  </si>
  <si>
    <t>AS PER DATE</t>
  </si>
  <si>
    <t xml:space="preserve">QUALITY SLOGANS </t>
  </si>
  <si>
    <t>TO BE DISPLAYED ACROSS QULAITY AREA</t>
  </si>
  <si>
    <r>
      <rPr>
        <strike/>
        <sz val="11"/>
        <color theme="1"/>
        <rFont val="Calibri"/>
        <family val="2"/>
        <scheme val="minor"/>
      </rPr>
      <t>TOOLS TO BE PURCHASED</t>
    </r>
    <r>
      <rPr>
        <sz val="11"/>
        <color theme="1"/>
        <rFont val="Calibri"/>
        <family val="2"/>
        <scheme val="minor"/>
      </rPr>
      <t>-(REWORK WILL BE DONE)</t>
    </r>
  </si>
  <si>
    <t>STORES</t>
  </si>
  <si>
    <t>EASTERN STICKERS HAS DISPATCHED TO MEGA MOTORS</t>
  </si>
  <si>
    <t>CAPA TO REPORT ON THIS ISSUE</t>
  </si>
  <si>
    <t>64S-HEX PINS REQUIRED</t>
  </si>
  <si>
    <t>84S-HEX PINS/BHS PINS REQUIRED</t>
  </si>
  <si>
    <t>6L4-17A/F TRIM DIE/KNURLING DIE REQUIRED</t>
  </si>
  <si>
    <t>164S-M10/16 FL TOOLS REQUIRED</t>
  </si>
  <si>
    <r>
      <t xml:space="preserve">TO BE PROCURED </t>
    </r>
    <r>
      <rPr>
        <b/>
        <sz val="11"/>
        <color theme="1"/>
        <rFont val="Calibri"/>
        <family val="2"/>
        <scheme val="minor"/>
      </rPr>
      <t>ASAP</t>
    </r>
  </si>
  <si>
    <t>84S-HEADING INSERTS(A800) REQUIRED</t>
  </si>
  <si>
    <t>TK250-MAIN SHAFT BEARING ISSUES</t>
  </si>
  <si>
    <t xml:space="preserve">SERVICING TO BE PLANNED </t>
  </si>
  <si>
    <t xml:space="preserve">INVESTIAGTION PLANNED </t>
  </si>
  <si>
    <t>SOP TO BE PREPARED</t>
  </si>
  <si>
    <t>TOOL LOCKING SOP(PRESS MACHINE)</t>
  </si>
  <si>
    <t>164S-WIRE STARAIGHTNER ROLLERS</t>
  </si>
  <si>
    <t>EN24 MATERIAL ROLLERS TO BE DELVELOPED FOR TEMPORARY PURPOSE</t>
  </si>
  <si>
    <t>ROLLAR TIGHTESS V/S AMP V/S TEMP DATA TO B ESTABLISHED</t>
  </si>
  <si>
    <t>UMA MAHESH/DILLI</t>
  </si>
  <si>
    <t>TRANSFORMER HEATING ISSUE</t>
  </si>
  <si>
    <t>FANS REQUIRED IN COLONY BUFFING AREA</t>
  </si>
  <si>
    <t>TO BE PURCHASED AND DEPLOYED</t>
  </si>
  <si>
    <t>164S-2ND STATION TOOL ASSEMBLY STUCK UP</t>
  </si>
  <si>
    <t>CORRECTIVE ACTIONS FOR TOOL ASSEMBLY TIGHTENING AND BORE SIZES MISMATCH</t>
  </si>
  <si>
    <t>M22 TOOL CONVERSATIONS</t>
  </si>
  <si>
    <t>M20 TO M22  TOOL CONVERSATIONS TO BE DONE</t>
  </si>
  <si>
    <t>SUPRAJIT-OPEN ISSES TO BE RESOLVED</t>
  </si>
  <si>
    <t>SAMI/PARANDAMA</t>
  </si>
  <si>
    <t>QA AND NPD TO TAKE THE CUSTOMER IN CONCALL AND EXPLAIN THE STANDARDS</t>
  </si>
  <si>
    <t>THREAD PROTECTORS STOCKS</t>
  </si>
  <si>
    <t>PAYMENTS TO BE PAID ON URGENT BASIS TO PROCURE</t>
  </si>
  <si>
    <t>PRIORITY</t>
  </si>
  <si>
    <t>HIGH</t>
  </si>
  <si>
    <t>TK-250 FIRST SLIDING PUNCH DAMAGE</t>
  </si>
  <si>
    <t>SOLID CARBIDE TOOLS NEED TO BE CONVERTED</t>
  </si>
  <si>
    <t>M5 X 12 PAN HEAD SCREW TOOL DAMAGE</t>
  </si>
  <si>
    <t>POINTING ACTIVITY TO BE PROVED OUT TO START PRODUCTION</t>
  </si>
  <si>
    <t>M12 X 1.75 ROLLING DIE NOT AVAILBALE</t>
  </si>
  <si>
    <t xml:space="preserve">ROLLING DIE OREDERED(IMPORTED) </t>
  </si>
  <si>
    <t>MEDIUM</t>
  </si>
  <si>
    <t>RDP ROLLING DIES LIFE IS GETTING MORE</t>
  </si>
  <si>
    <t>FURTHER ORDER TO PRIORITIZE FOR RDP ONLY</t>
  </si>
  <si>
    <t>PUR/TOOL</t>
  </si>
  <si>
    <t>M16 X 1.5 ROLLING DIES</t>
  </si>
  <si>
    <t>ORDERED 3 SET DIES NEED TO GET DELIVERED ON URGENT BASIS</t>
  </si>
  <si>
    <t>TK-250 PUNCH PIN DAMAGE</t>
  </si>
  <si>
    <t>PUNCH PIN MODIFICATION TO BE MADE</t>
  </si>
  <si>
    <t>6L4-FIRST STATION LENGTH ADJUSTMENT SCREW WORN OUT</t>
  </si>
  <si>
    <t>TEMPORARY ACTION WELDING AND REWORK,PA-SPARES REQUIRED</t>
  </si>
  <si>
    <t>TENTATIVELY EXPECTED BY 22-JUNE-2024</t>
  </si>
  <si>
    <t>SHARNYA TOOLS TAKEN BACK THE PRESENT TOOL FOR REPLACEMENT-5-JUN-2024</t>
  </si>
  <si>
    <t>MTR-30 WORK REST NEED TO INCREASE THE HEIGHT</t>
  </si>
  <si>
    <t>WORK REST TO BE RODER M16 TO M27</t>
  </si>
  <si>
    <t>DH BOLT TRD PROCESS MISS AT BOLTON'S</t>
  </si>
  <si>
    <t>INTERNAL SYSTEM AT PLANT TO BE REVIEWED FOR COUNTER MEASURES</t>
  </si>
  <si>
    <t>DILLI/BRIJESH</t>
  </si>
  <si>
    <t>HAND TROLLEY ORDER STATUS</t>
  </si>
  <si>
    <t xml:space="preserve">PURCHASE TO UPDATE </t>
  </si>
  <si>
    <t>ONE SAMPLE TROLLEY TO BE MADE FOR MATERIAL MOVEMENT</t>
  </si>
  <si>
    <t>CUSTOMIZED TROLLEYS( EXISTING HAND PALLETS LIFE ISSUE)</t>
  </si>
  <si>
    <t>PARANDAM/RAJESH</t>
  </si>
  <si>
    <t>INDENT TO BE CLEARED ON 13-JUNE</t>
  </si>
  <si>
    <t>M8 WIRE STARIGHTNER ROLLERS</t>
  </si>
  <si>
    <t>ROLLERS TO BE ORDERED-SS AND MS SEPARTE SETS</t>
  </si>
  <si>
    <t>JY TRIMMING DIE REQUIRED</t>
  </si>
  <si>
    <t xml:space="preserve">ORDERED 30 NO'S YET TO RECEIVE </t>
  </si>
  <si>
    <r>
      <t>JY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AND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STAGE DIE ORDER STATUS</t>
    </r>
  </si>
  <si>
    <t>EXPECTED ON AND ORE BEFORE 15-JUNE-20224</t>
  </si>
  <si>
    <t>TK250-FINGERS REQUIRED</t>
  </si>
  <si>
    <t>FINGERS-INDENT AND DRAWING REQUIRED</t>
  </si>
  <si>
    <t>ONCE DRAWINGS RECEIVED ORDERS WILL BE DONE</t>
  </si>
  <si>
    <t>PARANDAMAN</t>
  </si>
  <si>
    <t>6L4-4TH STATION AMOUNT OF OPENING ROLLER ISSUE</t>
  </si>
  <si>
    <t>REPLACE NEW ROLLER AND KAIZEN IS REQUIRED</t>
  </si>
  <si>
    <t>DILLI/PARANDAMA/MAHESH</t>
  </si>
  <si>
    <t>TR/PUR</t>
  </si>
  <si>
    <t>17A/F TRIM DIE</t>
  </si>
  <si>
    <t>BASED ON TOOL RECIPT DATES WE WILL PLAN THE DISPATCH DATE</t>
  </si>
  <si>
    <t>RAJESH/PARANDAMA</t>
  </si>
  <si>
    <t>CHECK LIST TO PREPARED</t>
  </si>
  <si>
    <t>FORGING OPERATOR-ONE TO ONE REVIEW</t>
  </si>
  <si>
    <t>NIGHT SHIFT SECURITY PLAN ASSESEMENT</t>
  </si>
  <si>
    <t>RM JUNE ORDER-HT FIRST</t>
  </si>
  <si>
    <t>RM TO BE RECEIVED</t>
  </si>
  <si>
    <t>PRODUCTION PERFORMANCE TO BE REVIEWD ON DAILY BASIS</t>
  </si>
  <si>
    <t>84S 4TH STATION BUSH REQUIRED</t>
  </si>
  <si>
    <t>SERVICABLE AND NEW ONE(5 NO'S) TO BE ORDERED</t>
  </si>
  <si>
    <t>MAHESH/DILLI/PARANDAMA</t>
  </si>
  <si>
    <t>PRODUCTION/TOOL/PURCHASE WEEKLY MEETING</t>
  </si>
  <si>
    <t>SUCCESSFULLY COMPLETED ON 14-JUNE-2024</t>
  </si>
  <si>
    <t>RAJESH/DILLI/PARANDAMA</t>
  </si>
  <si>
    <t>KNURLING DIES M6</t>
  </si>
  <si>
    <t xml:space="preserve">DIES TO BE ORDERED AND RECEIVED </t>
  </si>
  <si>
    <t>TOOL PRE-QUALIFICATION</t>
  </si>
  <si>
    <t>PLAN AND ACTIVITIES TO BE INITIATED AT THE TOOL ROOM</t>
  </si>
  <si>
    <t>NEW ORDER WITH IMPROVED HARDNESS TO BE PROCURED</t>
  </si>
  <si>
    <t xml:space="preserve">MAHESH </t>
  </si>
  <si>
    <t>SUNDAY AND WEEKLY PLANNING IMPROVEMENTS</t>
  </si>
  <si>
    <t>EVERY WEEK FRIDAY SUNDAY AND NEXT WEK PLAN TO BE FREEZED</t>
  </si>
  <si>
    <t>DILLI/BALA</t>
  </si>
  <si>
    <t>FEEDING ROLLERS CHANGE TO INITIATED AND COMPLETED</t>
  </si>
  <si>
    <t>84S-FEEDING ROLLER CHANGE</t>
  </si>
  <si>
    <t>MAHESH</t>
  </si>
  <si>
    <t>164S- CAM ROLLER 4TH STN MORE WEAR</t>
  </si>
  <si>
    <t>TRACK PLATE SPARE NOT AVILABLE</t>
  </si>
  <si>
    <t>NEED TO ORDER-2 NO'S AND ORGANIZE</t>
  </si>
  <si>
    <t>NEED TO TAKE RE-SERVICE</t>
  </si>
  <si>
    <t>M8-RM DEVIATION</t>
  </si>
  <si>
    <t>M22/16 ROLLING PRODUCT DEVIATION REPORT</t>
  </si>
  <si>
    <t>IN TOOL ROOM DIE REWORK AND TO BE ISSUED</t>
  </si>
  <si>
    <t>NAGARAJUNA</t>
  </si>
  <si>
    <t>M25LL-M22 TRIM DIE PREPARENESS</t>
  </si>
  <si>
    <t xml:space="preserve">MTE HOURLY PLAN </t>
  </si>
  <si>
    <t>HOURLY PLAN TO CHECKED AND CONSOLIDATED</t>
  </si>
  <si>
    <t xml:space="preserve">JY/DH WIP STATUS </t>
  </si>
  <si>
    <t>TRAINING FOR GET FOR WIP OF DH/JY</t>
  </si>
  <si>
    <t>TK250-HORIZONTAL AND VERTICAL MOVING SLIDE PLAY AVAILBLE</t>
  </si>
  <si>
    <t xml:space="preserve">MAHESH/DILLI </t>
  </si>
  <si>
    <t xml:space="preserve">MOVING SLIDE PLAY TO BE ADJUSTED </t>
  </si>
  <si>
    <t>ROOT CAUSE FOR PERMANENT ACTIONS</t>
  </si>
  <si>
    <t>DILLI/PARANDAMAN</t>
  </si>
  <si>
    <t xml:space="preserve">JUNE-WEEK 5 PLAN RELEASE </t>
  </si>
  <si>
    <t>BY 1:00PM THE PLAN TO BE RELEASED</t>
  </si>
  <si>
    <t>KRAFT PAPER UNAVAILBLE</t>
  </si>
  <si>
    <t>PUSHER PLATE NOT AVILABLE</t>
  </si>
  <si>
    <t>ORDERED MATERIAL STATUS</t>
  </si>
  <si>
    <t>PUSHER PLATE NEED TO ORDER</t>
  </si>
  <si>
    <t>164S/6L4-SHORT FEED SENSORS NOT AVAILBLE</t>
  </si>
  <si>
    <t>SENSORS TO BE INSTALLED</t>
  </si>
  <si>
    <t>DISCUSS WITH SUPPLIER AND REVERT ON THE LEAD TIME</t>
  </si>
  <si>
    <t>254L-3RD STATION HEADING INSERT STUCK UP</t>
  </si>
  <si>
    <t>TO BE REMOVED WITH HELP OF TURNING</t>
  </si>
  <si>
    <t>164S-FEED ROLLER SCORING HAPPENING</t>
  </si>
  <si>
    <t>10.65 FEED ROLLERS TO BE CONVERTED TO 13.60</t>
  </si>
  <si>
    <t>BORE/HOLE GAUAGE NOT AVAILBLE</t>
  </si>
  <si>
    <t>INDENT AND TO BE PROCURED</t>
  </si>
  <si>
    <t>DD BOLT BOLTON DIE-TRIMING DIE ACROSS CORNER ISSUE TO SUIT TO GUAGE</t>
  </si>
  <si>
    <t xml:space="preserve">SPECIFICATIONS RELATED CONCLUSIONS AND DRAWING TO BE FREEZED </t>
  </si>
  <si>
    <t>PARANDAMA/BALA</t>
  </si>
  <si>
    <t>TOOL REWORK AND ECR NEED TO RAISE</t>
  </si>
  <si>
    <t>PARANDAMA/DILLI</t>
  </si>
  <si>
    <t>TR/PROD</t>
  </si>
  <si>
    <t>TK250-SLIDING CONE PUNCH ANGLE NEED TO REVISE-M6 X 10-PHS</t>
  </si>
  <si>
    <t>64S-M6 SHCS AND HS-A270 TOOL CONVERSTION</t>
  </si>
  <si>
    <t>BEFORE USE REVIEW THE TOOL FOR EXPECTED TOOL LIFE</t>
  </si>
  <si>
    <t>64S BRAKE LINER ISSUE</t>
  </si>
  <si>
    <t>SERIVCE ACTIVITY PLAN FOR THE COMING 7TH AND 8TH</t>
  </si>
  <si>
    <t>KO PINS FOR M12 NOT AVAILABLE</t>
  </si>
  <si>
    <t>CONVERTING M14 KO PINS DUE TO SHORTAGE OF M12 KO PINS</t>
  </si>
  <si>
    <t>M6X1X30 SHCS LENGTH OVER SIZE</t>
  </si>
  <si>
    <t>DEVIATION NOTE BE RAISED, AWAITING TOOLS</t>
  </si>
  <si>
    <t>TK 250 TRANSFER FINGER REQUIRED</t>
  </si>
  <si>
    <t>TRANSFER FINGERS TO BE ORDERED &amp; RECEIVED (LEAD TIME 30 DAYS)</t>
  </si>
  <si>
    <t>COUNTER MEASURE TO REPORTED FOR DELAYED SETTING</t>
  </si>
  <si>
    <t>84S-DD BOLT DELAYED DUE TO 4TH STN FINGER SETTING</t>
  </si>
  <si>
    <t>Next month</t>
  </si>
  <si>
    <t>NANDINI</t>
  </si>
  <si>
    <r>
      <t>JY-KAIZEN-3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STATION DIE REQUIRED</t>
    </r>
  </si>
  <si>
    <r>
      <t xml:space="preserve">REVIEW AND SUBMIT BY </t>
    </r>
    <r>
      <rPr>
        <strike/>
        <sz val="10"/>
        <color theme="1"/>
        <rFont val="Calibri"/>
        <family val="2"/>
        <scheme val="minor"/>
      </rPr>
      <t>16-MAY-24</t>
    </r>
  </si>
  <si>
    <r>
      <t>DH-2</t>
    </r>
    <r>
      <rPr>
        <vertAlign val="superscript"/>
        <sz val="10"/>
        <color theme="1"/>
        <rFont val="Calibri"/>
        <family val="2"/>
        <scheme val="minor"/>
      </rPr>
      <t>ND</t>
    </r>
    <r>
      <rPr>
        <sz val="10"/>
        <color theme="1"/>
        <rFont val="Calibri"/>
        <family val="2"/>
        <scheme val="minor"/>
      </rPr>
      <t xml:space="preserve"> &amp; 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STATION DIES REQUIRED</t>
    </r>
  </si>
  <si>
    <r>
      <t>2</t>
    </r>
    <r>
      <rPr>
        <vertAlign val="superscript"/>
        <sz val="10"/>
        <color theme="1"/>
        <rFont val="Calibri"/>
        <family val="2"/>
        <scheme val="minor"/>
      </rPr>
      <t>ND</t>
    </r>
    <r>
      <rPr>
        <sz val="10"/>
        <color theme="1"/>
        <rFont val="Calibri"/>
        <family val="2"/>
        <scheme val="minor"/>
      </rPr>
      <t xml:space="preserve"> &amp; 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STATION DIES REQUIRED</t>
    </r>
  </si>
  <si>
    <r>
      <t xml:space="preserve">TO BE PROCURED </t>
    </r>
    <r>
      <rPr>
        <b/>
        <sz val="10"/>
        <color theme="1"/>
        <rFont val="Calibri"/>
        <family val="2"/>
        <scheme val="minor"/>
      </rPr>
      <t>ASAP</t>
    </r>
  </si>
  <si>
    <r>
      <t>M8 X 14 SCHS 2</t>
    </r>
    <r>
      <rPr>
        <vertAlign val="superscript"/>
        <sz val="10"/>
        <color theme="1"/>
        <rFont val="Calibri"/>
        <family val="2"/>
        <scheme val="minor"/>
      </rPr>
      <t>ND</t>
    </r>
    <r>
      <rPr>
        <sz val="10"/>
        <color theme="1"/>
        <rFont val="Calibri"/>
        <family val="2"/>
        <scheme val="minor"/>
      </rPr>
      <t xml:space="preserve"> AND 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STAGE CLEARENCE IS MORE </t>
    </r>
  </si>
  <si>
    <r>
      <t>2</t>
    </r>
    <r>
      <rPr>
        <vertAlign val="superscript"/>
        <sz val="10"/>
        <color theme="1"/>
        <rFont val="Calibri"/>
        <family val="2"/>
        <scheme val="minor"/>
      </rPr>
      <t>ND</t>
    </r>
    <r>
      <rPr>
        <sz val="10"/>
        <color theme="1"/>
        <rFont val="Calibri"/>
        <family val="2"/>
        <scheme val="minor"/>
      </rPr>
      <t xml:space="preserve"> AND 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STATION DIE DESIGN MODIFICATION IS REQUIRED AND TO BE ORDERED</t>
    </r>
  </si>
  <si>
    <r>
      <t>164S-3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STN SPINDLE BROKEN ISSUE</t>
    </r>
  </si>
  <si>
    <t>REMARKS</t>
  </si>
  <si>
    <t>11 nos received</t>
  </si>
  <si>
    <t>BAL -21PARTS DISPATCH COMMITMENT</t>
  </si>
  <si>
    <t>MARCH'26 - AUTO SECTOR DISPATCH COMMITMENT</t>
  </si>
  <si>
    <t>164S MNT PLAN ACTIVES TIMING PLAN &amp; SPARES</t>
  </si>
  <si>
    <t>MICRO STRUCTURE  CHECKING</t>
  </si>
  <si>
    <t>HT/PUR</t>
  </si>
  <si>
    <t>UMA MAHESH/RAJESH</t>
  </si>
  <si>
    <t>QA-BALA</t>
  </si>
  <si>
    <t xml:space="preserve">M/S BEML DISPATCH </t>
  </si>
  <si>
    <t>S NO</t>
  </si>
  <si>
    <t>Month</t>
  </si>
  <si>
    <t>INVOICE NO</t>
  </si>
  <si>
    <t>ORDER BOOKING NO</t>
  </si>
  <si>
    <t>BOOKING DATE</t>
  </si>
  <si>
    <t>CUSTOMER NAME</t>
  </si>
  <si>
    <t xml:space="preserve"> PRODUCT CODE</t>
  </si>
  <si>
    <t xml:space="preserve"> PRODUCT TYPE</t>
  </si>
  <si>
    <t>SIZE</t>
  </si>
  <si>
    <t>PITCH</t>
  </si>
  <si>
    <t>LENGTH</t>
  </si>
  <si>
    <t>GRADE</t>
  </si>
  <si>
    <t xml:space="preserve"> ORDER QTY</t>
  </si>
  <si>
    <t>DISPATCH QTY</t>
  </si>
  <si>
    <t>BALANCE QTY</t>
  </si>
  <si>
    <t>LIST PRICE</t>
  </si>
  <si>
    <t>ORDER VALUE</t>
  </si>
  <si>
    <t>ITEM DESCRIPTION</t>
  </si>
  <si>
    <t xml:space="preserve">DISPATCH DATE </t>
  </si>
  <si>
    <t>MAR</t>
  </si>
  <si>
    <t>3046/25-26</t>
  </si>
  <si>
    <t>MEGH MOTORS (GUWAHATI)</t>
  </si>
  <si>
    <t>V010030204</t>
  </si>
  <si>
    <t>HHB</t>
  </si>
  <si>
    <t>M10</t>
  </si>
  <si>
    <t>TBF</t>
  </si>
  <si>
    <t>V010030202</t>
  </si>
  <si>
    <t>2964/25-26</t>
  </si>
  <si>
    <t>KRIPA AUTO AGENCIES</t>
  </si>
  <si>
    <t>L112025203</t>
  </si>
  <si>
    <t>HHS</t>
  </si>
  <si>
    <t>M12</t>
  </si>
  <si>
    <t>U/PACKING</t>
  </si>
  <si>
    <t>3015/25-26</t>
  </si>
  <si>
    <t>SHREE KATEELESHWARI AUTO DISTRIBUTORS</t>
  </si>
  <si>
    <t>L006070202</t>
  </si>
  <si>
    <t>M6</t>
  </si>
  <si>
    <t>L008025201</t>
  </si>
  <si>
    <t>M8</t>
  </si>
  <si>
    <t>L112040203</t>
  </si>
  <si>
    <t>L014050203</t>
  </si>
  <si>
    <t>M14</t>
  </si>
  <si>
    <t>M16</t>
  </si>
  <si>
    <t>L018100202</t>
  </si>
  <si>
    <t>M18</t>
  </si>
  <si>
    <t>awaiting r.m</t>
  </si>
  <si>
    <t>2979/25-26</t>
  </si>
  <si>
    <t>L008105202</t>
  </si>
  <si>
    <t>npd</t>
  </si>
  <si>
    <t>L008110202</t>
  </si>
  <si>
    <t>L008125202</t>
  </si>
  <si>
    <t>L010080204</t>
  </si>
  <si>
    <t>L010090204</t>
  </si>
  <si>
    <t>L010100204</t>
  </si>
  <si>
    <t>L010125204</t>
  </si>
  <si>
    <t>2967/25-26</t>
  </si>
  <si>
    <t>L112050203</t>
  </si>
  <si>
    <t>L112125204</t>
  </si>
  <si>
    <t>L112130204</t>
  </si>
  <si>
    <t>L012065203</t>
  </si>
  <si>
    <t>DIE NOT AVL</t>
  </si>
  <si>
    <t>L114150204</t>
  </si>
  <si>
    <t>L014075203</t>
  </si>
  <si>
    <t>3016/25-26</t>
  </si>
  <si>
    <t>SHUBAM TRADERS</t>
  </si>
  <si>
    <t>M12(19A/F)</t>
  </si>
  <si>
    <t>3012/25-26</t>
  </si>
  <si>
    <t>L012085204</t>
  </si>
  <si>
    <t>L532038602</t>
  </si>
  <si>
    <t>3/8</t>
  </si>
  <si>
    <t>-</t>
  </si>
  <si>
    <t>UNC</t>
  </si>
  <si>
    <t>L532038601</t>
  </si>
  <si>
    <t>L632038602</t>
  </si>
  <si>
    <t>UNF</t>
  </si>
  <si>
    <t>3248/25-26</t>
  </si>
  <si>
    <t>L008080202</t>
  </si>
  <si>
    <t>L010140204</t>
  </si>
  <si>
    <t>L016100202</t>
  </si>
  <si>
    <t>L018055202</t>
  </si>
  <si>
    <t>L018090202</t>
  </si>
  <si>
    <t>L020050201</t>
  </si>
  <si>
    <t>M20</t>
  </si>
  <si>
    <t>L020170202</t>
  </si>
  <si>
    <t>die reqd</t>
  </si>
  <si>
    <t>L020220202</t>
  </si>
  <si>
    <t>L020280202</t>
  </si>
  <si>
    <t>L022080202</t>
  </si>
  <si>
    <t>M22</t>
  </si>
  <si>
    <t>L022100202</t>
  </si>
  <si>
    <t>L024130202</t>
  </si>
  <si>
    <t>M24</t>
  </si>
  <si>
    <t>L024160202</t>
  </si>
  <si>
    <t>L024220202</t>
  </si>
  <si>
    <t>L027200202</t>
  </si>
  <si>
    <t>M27</t>
  </si>
  <si>
    <t xml:space="preserve">check &amp; update </t>
  </si>
  <si>
    <t>1 1/2"</t>
  </si>
  <si>
    <t>PPL-8</t>
  </si>
  <si>
    <t>G006012421</t>
  </si>
  <si>
    <t>FS</t>
  </si>
  <si>
    <t>G008050421</t>
  </si>
  <si>
    <t>G010040421</t>
  </si>
  <si>
    <t>G010025421</t>
  </si>
  <si>
    <t>G010035421</t>
  </si>
  <si>
    <t>G116120222</t>
  </si>
  <si>
    <t>FB</t>
  </si>
  <si>
    <t>G016060202</t>
  </si>
  <si>
    <t>G016065202</t>
  </si>
  <si>
    <t>G016070202</t>
  </si>
  <si>
    <t>G016075202</t>
  </si>
  <si>
    <t>Sl no</t>
  </si>
  <si>
    <t>Part Number</t>
  </si>
  <si>
    <t>Description</t>
  </si>
  <si>
    <t>Schedule Qty</t>
  </si>
  <si>
    <t>Dispatch date from plant</t>
  </si>
  <si>
    <t>4M Related</t>
  </si>
  <si>
    <t>DK902626</t>
  </si>
  <si>
    <t>M6x1x10 HHS -A270</t>
  </si>
  <si>
    <t>           21,402</t>
  </si>
  <si>
    <t>ok</t>
  </si>
  <si>
    <t>LAC00198</t>
  </si>
  <si>
    <t>M6X1X25 SHCS-A800</t>
  </si>
  <si>
    <t>             6,767</t>
  </si>
  <si>
    <t>JZ181206</t>
  </si>
  <si>
    <t>PHS M5X21-A270</t>
  </si>
  <si>
    <t>           15,219</t>
  </si>
  <si>
    <t>Trap die required</t>
  </si>
  <si>
    <t>KAEA0616</t>
  </si>
  <si>
    <t>SPL M6X1X16-4.8</t>
  </si>
  <si>
    <t>             5,280</t>
  </si>
  <si>
    <t>LHA00001</t>
  </si>
  <si>
    <t>M6X17.5 PIN</t>
  </si>
  <si>
    <t>                900</t>
  </si>
  <si>
    <t>31-04-2026</t>
  </si>
  <si>
    <t>CRITICAL</t>
  </si>
  <si>
    <t>KADA0612</t>
  </si>
  <si>
    <t>FL M6X1X12 -4.8</t>
  </si>
  <si>
    <t>           45,800</t>
  </si>
  <si>
    <t>1010 RM req /rm deviation</t>
  </si>
  <si>
    <t>KAED0610</t>
  </si>
  <si>
    <t>SPL M6X1X10-8.8</t>
  </si>
  <si>
    <t>             2,050</t>
  </si>
  <si>
    <t>including 4 days HT  outsourcing</t>
  </si>
  <si>
    <t>KAED0622</t>
  </si>
  <si>
    <t>SPL M6X1X22-8.8</t>
  </si>
  <si>
    <t>             5,020</t>
  </si>
  <si>
    <t>KBUA0614</t>
  </si>
  <si>
    <t>PHSM6X14</t>
  </si>
  <si>
    <t>           12,410</t>
  </si>
  <si>
    <t>BO</t>
  </si>
  <si>
    <t>KAAA0514</t>
  </si>
  <si>
    <t>HHS M5X14-4.8</t>
  </si>
  <si>
    <t>           11,850</t>
  </si>
  <si>
    <t>KADD0620</t>
  </si>
  <si>
    <t>FL M6X1X20-8.8</t>
  </si>
  <si>
    <t>             6,900</t>
  </si>
  <si>
    <t>LBU00273</t>
  </si>
  <si>
    <t>SSB M6X9-A270</t>
  </si>
  <si>
    <t>             4,080</t>
  </si>
  <si>
    <t>LBU00236</t>
  </si>
  <si>
    <t>SSBM8X39.3-A800</t>
  </si>
  <si>
    <t>           16,425</t>
  </si>
  <si>
    <t>up to month end dispatch</t>
  </si>
  <si>
    <t>KADA0614</t>
  </si>
  <si>
    <t>FL M6X1X14-4.8</t>
  </si>
  <si>
    <t>           10,000</t>
  </si>
  <si>
    <t>KAAA0525</t>
  </si>
  <si>
    <t>HHS M5X25-4.8</t>
  </si>
  <si>
    <t>           50,000</t>
  </si>
  <si>
    <t>KAAA0825</t>
  </si>
  <si>
    <t>HHS M8X25-4.8</t>
  </si>
  <si>
    <t>             7,000</t>
  </si>
  <si>
    <t xml:space="preserve">Rm red </t>
  </si>
  <si>
    <t>KADD0630</t>
  </si>
  <si>
    <t>KACF0516</t>
  </si>
  <si>
    <t xml:space="preserve">Top nip issue </t>
  </si>
  <si>
    <t>M/S TECH AUTO- SUPPLIER END</t>
  </si>
  <si>
    <t xml:space="preserve">PUR </t>
  </si>
  <si>
    <t>M5 X9 TORX PIN YET RECEIVE</t>
  </si>
  <si>
    <t>M5X21 TRAP DIE DRAWING REQD</t>
  </si>
  <si>
    <t>DESIGN/NPD</t>
  </si>
  <si>
    <t>_</t>
  </si>
  <si>
    <t>MKT</t>
  </si>
  <si>
    <t>DEALER  DISPATCH FOR KRIPA, VRASON, MECH MOTOR, BARTH MINING, SKAD</t>
  </si>
  <si>
    <t>STORE</t>
  </si>
  <si>
    <t>M20 X2.5 RE THREAD DIE TO BE DISPATCH FROM HYD</t>
  </si>
  <si>
    <t>BALA</t>
  </si>
  <si>
    <t xml:space="preserve">M16 JY  TRIM DIE 
1.5 DIE FROM HYD
2.10 TRIM DIE FROM NAHARS </t>
  </si>
  <si>
    <t>1.TO BE ARRANGE FROM HYD TODAY
2.ARRANGE BY 26/04/2026</t>
  </si>
  <si>
    <t>TO BE FORGED AND MOVE TO NEXT OPNS</t>
  </si>
  <si>
    <t>MANOHAR</t>
  </si>
  <si>
    <t>LBU236,PAN HEAD ,M12 SERIES, M21 SERIES ,
1. LBU236 SUPPORT BY DILLI</t>
  </si>
  <si>
    <t>TO BE COMPLETED BY TODAY  FOR ONE BILL</t>
  </si>
  <si>
    <t>M/S TECHNO CRAFT DISPATCH</t>
  </si>
  <si>
    <t xml:space="preserve">TO BE CONFORMIED </t>
  </si>
  <si>
    <t>PUR/PPC</t>
  </si>
  <si>
    <t>M/S TIVOLT  PLATING MATL TO BE DISPATCH FROM - SUPPLIER END</t>
  </si>
  <si>
    <t xml:space="preserve">TO BE ENSURE </t>
  </si>
  <si>
    <t>INCH SERIES TOOLS CHECK UP(3/8:1-1/2,UNC&amp; UNF)</t>
  </si>
  <si>
    <t>M21 BACK FILLIER DIE  REWORK</t>
  </si>
  <si>
    <t xml:space="preserve">TO BE ARRANGE BACK AFTER REWORK TODAY </t>
  </si>
  <si>
    <t>RAJESH/TRIPATHI</t>
  </si>
  <si>
    <t xml:space="preserve">M12X1.75 EXTRUSION DIE </t>
  </si>
  <si>
    <t>ALL ORANGE INVOICES 32LACS</t>
  </si>
  <si>
    <t>TO BE COMPLETED BEFORE 25TH APRIL</t>
  </si>
  <si>
    <t xml:space="preserve">M10X1.5X130 FB TIVOLT </t>
  </si>
  <si>
    <t xml:space="preserve">ROLLING PROCESS TO BE COMPLETED </t>
  </si>
  <si>
    <t>TO BE PREPARED AND CIRCULATE</t>
  </si>
  <si>
    <t>6L4 TRANS UNIT  REVIEW</t>
  </si>
  <si>
    <t>MEETING TO BE SCHEDULED  AT 22/04/2026@3.00PM TO 4.00 PM</t>
  </si>
  <si>
    <t>EMAIL</t>
  </si>
  <si>
    <t>dilli.d@precifast.in</t>
  </si>
  <si>
    <t>maintenance@precifast.in</t>
  </si>
  <si>
    <t>maintenance@precifast.in / e.rajesh@precifast.in</t>
  </si>
  <si>
    <t>e.rajesh@precifast.in</t>
  </si>
  <si>
    <t>dilli.d@precifast.in / e.rajesh@precifast.in</t>
  </si>
  <si>
    <t>sqa@precifast.in</t>
  </si>
  <si>
    <t>prod@precifast.in</t>
  </si>
  <si>
    <t>parandama@precifast.in</t>
  </si>
  <si>
    <t>balakrishna.b@gmail.com</t>
  </si>
  <si>
    <t>e.rajesh@precifast.in  / ^prod@precifast.in</t>
  </si>
  <si>
    <t>e.rajesh@precifast.in  /  prod@precifast.in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</si>
</sst>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#,##0\ &quot;Km&quot;"/>
    <numFmt numFmtId="166" formatCode="\$#,##0.00\ ;\(\$#,##0.00\)"/>
    <numFmt numFmtId="167" formatCode="\$#,##0\ ;\(\$#,##0\)"/>
    <numFmt numFmtId="168" formatCode="&quot;kr&quot;\ #,##0.00;&quot;kr&quot;\ \-#,##0.00"/>
    <numFmt numFmtId="169" formatCode="[$-14009]dd/mm/yyyy;@"/>
    <numFmt numFmtId="170" formatCode="&quot;&quot;0.0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6"/>
      <name val="Trebuchet MS"/>
      <family val="2"/>
    </font>
    <font>
      <sz val="10"/>
      <name val="Trebuchet MS"/>
      <family val="2"/>
    </font>
    <font>
      <b/>
      <sz val="14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0"/>
      <name val="Trebuchet MS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0"/>
      <name val="Helv"/>
    </font>
    <font>
      <sz val="10"/>
      <name val="MS Sans Serif"/>
      <family val="2"/>
    </font>
    <font>
      <sz val="10"/>
      <color indexed="22"/>
      <name val="Arial"/>
      <family val="2"/>
    </font>
    <font>
      <sz val="8"/>
      <name val="Arial"/>
      <family val="2"/>
    </font>
    <font>
      <b/>
      <sz val="12"/>
      <name val="Helv"/>
    </font>
    <font>
      <b/>
      <sz val="11"/>
      <name val="Helv"/>
    </font>
    <font>
      <sz val="10"/>
      <name val="Times New Roman"/>
      <family val="1"/>
    </font>
    <font>
      <sz val="14"/>
      <name val="–¾’©"/>
      <charset val="128"/>
    </font>
    <font>
      <sz val="11"/>
      <name val="Trebuchet M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indexed="8"/>
      <name val="Verdana"/>
      <family val="2"/>
    </font>
    <font>
      <sz val="10"/>
      <name val="Verdana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0"/>
      <color rgb="FF00B05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darkGray">
        <fgColor indexed="21"/>
        <bgColor indexed="17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3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165" fontId="2" fillId="0" borderId="0">
      <alignment horizontal="center"/>
    </xf>
    <xf numFmtId="15" fontId="12" fillId="0" borderId="0"/>
    <xf numFmtId="0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38" fontId="14" fillId="3" borderId="0" applyNumberFormat="0" applyBorder="0" applyAlignment="0" applyProtection="0"/>
    <xf numFmtId="0" fontId="15" fillId="0" borderId="0">
      <alignment horizontal="left"/>
    </xf>
    <xf numFmtId="10" fontId="14" fillId="3" borderId="1" applyNumberFormat="0" applyBorder="0" applyAlignment="0" applyProtection="0"/>
    <xf numFmtId="4" fontId="13" fillId="0" borderId="0" applyFont="0" applyFill="0" applyBorder="0" applyAlignment="0" applyProtection="0"/>
    <xf numFmtId="0" fontId="16" fillId="0" borderId="2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7" fillId="0" borderId="0"/>
    <xf numFmtId="168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6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53" fillId="0" borderId="0" applyNumberFormat="0" applyFill="0" applyBorder="0" applyAlignment="0" applyProtection="0"/>
  </cellStyleXfs>
  <cellXfs count="243">
    <xf numFmtId="0" fontId="0" fillId="0" borderId="0" xfId="0"/>
    <xf numFmtId="0" fontId="4" fillId="0" borderId="0" xfId="1" applyFont="1" applyAlignment="1">
      <alignment horizontal="center" wrapText="1"/>
    </xf>
    <xf numFmtId="0" fontId="4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wrapText="1"/>
    </xf>
    <xf numFmtId="169" fontId="8" fillId="0" borderId="1" xfId="1" applyNumberFormat="1" applyFont="1" applyBorder="1" applyAlignment="1">
      <alignment horizontal="center" wrapText="1"/>
    </xf>
    <xf numFmtId="14" fontId="19" fillId="0" borderId="1" xfId="0" applyNumberFormat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left" wrapText="1"/>
    </xf>
    <xf numFmtId="0" fontId="8" fillId="0" borderId="1" xfId="1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4" fillId="3" borderId="1" xfId="1" applyFont="1" applyFill="1" applyBorder="1" applyAlignment="1">
      <alignment horizontal="center" wrapText="1"/>
    </xf>
    <xf numFmtId="0" fontId="24" fillId="4" borderId="1" xfId="1" applyFont="1" applyFill="1" applyBorder="1" applyAlignment="1">
      <alignment horizontal="center" wrapText="1"/>
    </xf>
    <xf numFmtId="0" fontId="22" fillId="0" borderId="0" xfId="1" applyFont="1" applyAlignment="1">
      <alignment horizontal="center" wrapText="1"/>
    </xf>
    <xf numFmtId="0" fontId="24" fillId="0" borderId="1" xfId="1" applyFont="1" applyBorder="1" applyAlignment="1">
      <alignment horizontal="center" wrapText="1"/>
    </xf>
    <xf numFmtId="169" fontId="24" fillId="4" borderId="1" xfId="1" applyNumberFormat="1" applyFont="1" applyFill="1" applyBorder="1" applyAlignment="1">
      <alignment horizontal="center" wrapText="1"/>
    </xf>
    <xf numFmtId="14" fontId="21" fillId="0" borderId="1" xfId="0" applyNumberFormat="1" applyFont="1" applyBorder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2" borderId="1" xfId="1" applyFont="1" applyFill="1" applyBorder="1" applyAlignment="1">
      <alignment horizontal="center" vertical="center"/>
    </xf>
    <xf numFmtId="0" fontId="27" fillId="0" borderId="1" xfId="1" applyFont="1" applyBorder="1" applyAlignment="1">
      <alignment horizontal="center"/>
    </xf>
    <xf numFmtId="0" fontId="27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1" xfId="1" applyFont="1" applyBorder="1" applyAlignment="1">
      <alignment horizontal="center" wrapText="1"/>
    </xf>
    <xf numFmtId="0" fontId="28" fillId="0" borderId="1" xfId="1" applyFont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wrapText="1"/>
    </xf>
    <xf numFmtId="169" fontId="24" fillId="2" borderId="1" xfId="1" applyNumberFormat="1" applyFont="1" applyFill="1" applyBorder="1" applyAlignment="1">
      <alignment horizontal="center" wrapText="1"/>
    </xf>
    <xf numFmtId="0" fontId="29" fillId="5" borderId="6" xfId="0" applyFont="1" applyFill="1" applyBorder="1"/>
    <xf numFmtId="0" fontId="22" fillId="0" borderId="0" xfId="1" applyFont="1" applyAlignment="1">
      <alignment wrapText="1"/>
    </xf>
    <xf numFmtId="0" fontId="24" fillId="0" borderId="1" xfId="1" applyFont="1" applyBorder="1" applyAlignment="1">
      <alignment wrapText="1"/>
    </xf>
    <xf numFmtId="0" fontId="22" fillId="3" borderId="1" xfId="1" applyFont="1" applyFill="1" applyBorder="1"/>
    <xf numFmtId="0" fontId="22" fillId="0" borderId="1" xfId="1" applyFont="1" applyBorder="1" applyAlignment="1">
      <alignment wrapText="1"/>
    </xf>
    <xf numFmtId="0" fontId="27" fillId="0" borderId="1" xfId="1" applyFont="1" applyBorder="1"/>
    <xf numFmtId="0" fontId="26" fillId="2" borderId="1" xfId="1" applyFont="1" applyFill="1" applyBorder="1"/>
    <xf numFmtId="0" fontId="0" fillId="0" borderId="1" xfId="0" applyBorder="1"/>
    <xf numFmtId="0" fontId="22" fillId="0" borderId="5" xfId="1" applyFont="1" applyBorder="1" applyAlignment="1">
      <alignment horizontal="center" wrapText="1"/>
    </xf>
    <xf numFmtId="0" fontId="30" fillId="3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2" fillId="0" borderId="1" xfId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3" fillId="3" borderId="1" xfId="1" applyFont="1" applyFill="1" applyBorder="1" applyAlignment="1">
      <alignment horizontal="center" vertical="center"/>
    </xf>
    <xf numFmtId="0" fontId="29" fillId="5" borderId="6" xfId="0" applyFont="1" applyFill="1" applyBorder="1" applyAlignment="1">
      <alignment horizontal="center"/>
    </xf>
    <xf numFmtId="0" fontId="24" fillId="3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29" fillId="5" borderId="6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" fontId="22" fillId="0" borderId="1" xfId="1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0" fillId="0" borderId="1" xfId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6" fillId="3" borderId="1" xfId="1" applyFont="1" applyFill="1" applyBorder="1" applyAlignment="1">
      <alignment horizontal="center" vertical="center"/>
    </xf>
    <xf numFmtId="0" fontId="36" fillId="0" borderId="1" xfId="1" applyFont="1" applyBorder="1" applyAlignment="1">
      <alignment horizontal="center" vertical="center" wrapText="1"/>
    </xf>
    <xf numFmtId="14" fontId="20" fillId="2" borderId="1" xfId="1" applyNumberFormat="1" applyFont="1" applyFill="1" applyBorder="1" applyAlignment="1">
      <alignment horizontal="center" wrapText="1"/>
    </xf>
    <xf numFmtId="0" fontId="24" fillId="3" borderId="1" xfId="1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169" fontId="24" fillId="2" borderId="1" xfId="1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vertical="center"/>
    </xf>
    <xf numFmtId="0" fontId="25" fillId="2" borderId="10" xfId="1" applyFont="1" applyFill="1" applyBorder="1" applyAlignment="1">
      <alignment horizontal="center" vertical="center" wrapText="1"/>
    </xf>
    <xf numFmtId="0" fontId="25" fillId="2" borderId="11" xfId="1" applyFont="1" applyFill="1" applyBorder="1" applyAlignment="1">
      <alignment horizontal="center" vertical="center" wrapText="1"/>
    </xf>
    <xf numFmtId="0" fontId="22" fillId="0" borderId="5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2" fillId="6" borderId="1" xfId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2" fillId="6" borderId="1" xfId="1" applyFont="1" applyFill="1" applyBorder="1" applyAlignment="1">
      <alignment horizontal="center" vertical="center" wrapText="1"/>
    </xf>
    <xf numFmtId="0" fontId="22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4" fontId="29" fillId="5" borderId="6" xfId="0" applyNumberFormat="1" applyFont="1" applyFill="1" applyBorder="1" applyAlignment="1">
      <alignment horizontal="center"/>
    </xf>
    <xf numFmtId="0" fontId="24" fillId="2" borderId="3" xfId="1" applyFont="1" applyFill="1" applyBorder="1" applyAlignment="1">
      <alignment horizontal="left" vertical="center" wrapText="1"/>
    </xf>
    <xf numFmtId="0" fontId="22" fillId="3" borderId="6" xfId="1" applyFont="1" applyFill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2" fontId="22" fillId="0" borderId="1" xfId="1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0" fontId="33" fillId="2" borderId="1" xfId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0" fontId="43" fillId="3" borderId="1" xfId="1" applyFont="1" applyFill="1" applyBorder="1" applyAlignment="1">
      <alignment horizontal="center" vertical="center"/>
    </xf>
    <xf numFmtId="0" fontId="42" fillId="0" borderId="13" xfId="0" applyFont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22" fillId="7" borderId="0" xfId="1" applyFont="1" applyFill="1" applyAlignment="1">
      <alignment horizontal="center" wrapText="1"/>
    </xf>
    <xf numFmtId="0" fontId="22" fillId="4" borderId="0" xfId="1" applyFont="1" applyFill="1" applyAlignment="1">
      <alignment horizontal="center" wrapText="1"/>
    </xf>
    <xf numFmtId="0" fontId="22" fillId="8" borderId="0" xfId="1" applyFont="1" applyFill="1" applyAlignment="1">
      <alignment horizontal="center" wrapText="1"/>
    </xf>
    <xf numFmtId="0" fontId="35" fillId="4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0" borderId="0" xfId="0" applyFont="1"/>
    <xf numFmtId="14" fontId="38" fillId="0" borderId="1" xfId="0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6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16" fontId="38" fillId="0" borderId="1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1" xfId="0" applyFont="1" applyBorder="1"/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/>
    </xf>
    <xf numFmtId="16" fontId="38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wrapText="1"/>
    </xf>
    <xf numFmtId="0" fontId="38" fillId="0" borderId="1" xfId="0" applyFont="1" applyBorder="1" applyAlignment="1">
      <alignment vertical="top" wrapText="1"/>
    </xf>
    <xf numFmtId="17" fontId="38" fillId="0" borderId="1" xfId="0" applyNumberFormat="1" applyFont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top" wrapText="1"/>
    </xf>
    <xf numFmtId="164" fontId="51" fillId="9" borderId="1" xfId="71" applyFont="1" applyFill="1" applyBorder="1" applyAlignment="1" applyProtection="1">
      <alignment horizontal="center" vertical="top" wrapText="1"/>
    </xf>
    <xf numFmtId="164" fontId="51" fillId="9" borderId="14" xfId="71" applyFont="1" applyFill="1" applyBorder="1" applyAlignment="1" applyProtection="1">
      <alignment horizontal="center" vertical="top" wrapText="1"/>
    </xf>
    <xf numFmtId="0" fontId="51" fillId="9" borderId="14" xfId="0" applyFont="1" applyFill="1" applyBorder="1" applyAlignment="1">
      <alignment horizontal="center" vertical="top" wrapText="1"/>
    </xf>
    <xf numFmtId="0" fontId="51" fillId="9" borderId="14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/>
    </xf>
    <xf numFmtId="1" fontId="38" fillId="8" borderId="1" xfId="0" applyNumberFormat="1" applyFont="1" applyFill="1" applyBorder="1" applyAlignment="1">
      <alignment horizontal="center" vertical="center"/>
    </xf>
    <xf numFmtId="14" fontId="38" fillId="8" borderId="1" xfId="0" applyNumberFormat="1" applyFont="1" applyFill="1" applyBorder="1" applyAlignment="1">
      <alignment horizontal="center"/>
    </xf>
    <xf numFmtId="0" fontId="38" fillId="8" borderId="1" xfId="0" applyFont="1" applyFill="1" applyBorder="1" applyAlignment="1">
      <alignment vertical="center"/>
    </xf>
    <xf numFmtId="164" fontId="38" fillId="8" borderId="1" xfId="7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" fontId="38" fillId="8" borderId="13" xfId="0" applyNumberFormat="1" applyFont="1" applyFill="1" applyBorder="1" applyAlignment="1">
      <alignment horizontal="center" vertical="center"/>
    </xf>
    <xf numFmtId="14" fontId="38" fillId="8" borderId="13" xfId="0" applyNumberFormat="1" applyFont="1" applyFill="1" applyBorder="1" applyAlignment="1">
      <alignment horizontal="center"/>
    </xf>
    <xf numFmtId="0" fontId="38" fillId="8" borderId="13" xfId="0" applyFont="1" applyFill="1" applyBorder="1" applyAlignment="1">
      <alignment vertical="center"/>
    </xf>
    <xf numFmtId="43" fontId="38" fillId="8" borderId="13" xfId="71" applyNumberFormat="1" applyFont="1" applyFill="1" applyBorder="1" applyAlignment="1" applyProtection="1">
      <alignment horizontal="center" vertical="center"/>
    </xf>
    <xf numFmtId="164" fontId="38" fillId="8" borderId="13" xfId="71" applyFont="1" applyFill="1" applyBorder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0" fontId="38" fillId="8" borderId="12" xfId="0" applyFont="1" applyFill="1" applyBorder="1" applyAlignment="1">
      <alignment horizontal="center" vertical="center"/>
    </xf>
    <xf numFmtId="1" fontId="38" fillId="8" borderId="12" xfId="0" applyNumberFormat="1" applyFont="1" applyFill="1" applyBorder="1" applyAlignment="1">
      <alignment horizontal="center" vertical="center"/>
    </xf>
    <xf numFmtId="14" fontId="38" fillId="8" borderId="12" xfId="0" applyNumberFormat="1" applyFont="1" applyFill="1" applyBorder="1" applyAlignment="1">
      <alignment horizontal="center"/>
    </xf>
    <xf numFmtId="0" fontId="38" fillId="8" borderId="12" xfId="0" applyFont="1" applyFill="1" applyBorder="1" applyAlignment="1">
      <alignment vertical="center"/>
    </xf>
    <xf numFmtId="43" fontId="38" fillId="8" borderId="12" xfId="71" applyNumberFormat="1" applyFont="1" applyFill="1" applyBorder="1" applyAlignment="1" applyProtection="1">
      <alignment horizontal="center" vertical="center"/>
    </xf>
    <xf numFmtId="164" fontId="38" fillId="8" borderId="12" xfId="71" applyFont="1" applyFill="1" applyBorder="1" applyAlignment="1" applyProtection="1">
      <alignment horizontal="center" vertical="center"/>
    </xf>
    <xf numFmtId="43" fontId="38" fillId="8" borderId="1" xfId="71" applyNumberFormat="1" applyFont="1" applyFill="1" applyBorder="1" applyAlignment="1" applyProtection="1">
      <alignment horizontal="center" vertical="center"/>
    </xf>
    <xf numFmtId="0" fontId="38" fillId="8" borderId="14" xfId="0" applyFont="1" applyFill="1" applyBorder="1" applyAlignment="1">
      <alignment horizontal="center" vertical="center"/>
    </xf>
    <xf numFmtId="1" fontId="38" fillId="8" borderId="14" xfId="0" applyNumberFormat="1" applyFont="1" applyFill="1" applyBorder="1" applyAlignment="1">
      <alignment horizontal="center" vertical="center"/>
    </xf>
    <xf numFmtId="14" fontId="38" fillId="8" borderId="14" xfId="0" applyNumberFormat="1" applyFont="1" applyFill="1" applyBorder="1" applyAlignment="1">
      <alignment horizontal="center"/>
    </xf>
    <xf numFmtId="0" fontId="38" fillId="8" borderId="14" xfId="0" applyFont="1" applyFill="1" applyBorder="1" applyAlignment="1">
      <alignment vertical="center"/>
    </xf>
    <xf numFmtId="43" fontId="38" fillId="8" borderId="14" xfId="71" applyNumberFormat="1" applyFont="1" applyFill="1" applyBorder="1" applyAlignment="1" applyProtection="1">
      <alignment horizontal="center" vertical="center"/>
    </xf>
    <xf numFmtId="164" fontId="38" fillId="8" borderId="14" xfId="71" applyFont="1" applyFill="1" applyBorder="1" applyAlignment="1" applyProtection="1">
      <alignment horizontal="center" vertical="center"/>
    </xf>
    <xf numFmtId="0" fontId="0" fillId="8" borderId="13" xfId="0" applyFill="1" applyBorder="1"/>
    <xf numFmtId="0" fontId="0" fillId="8" borderId="1" xfId="0" applyFill="1" applyBorder="1"/>
    <xf numFmtId="0" fontId="0" fillId="8" borderId="14" xfId="0" applyFill="1" applyBorder="1"/>
    <xf numFmtId="0" fontId="0" fillId="8" borderId="12" xfId="0" applyFill="1" applyBorder="1"/>
    <xf numFmtId="170" fontId="22" fillId="8" borderId="13" xfId="0" applyNumberFormat="1" applyFont="1" applyFill="1" applyBorder="1" applyAlignment="1">
      <alignment horizontal="center" vertical="center"/>
    </xf>
    <xf numFmtId="14" fontId="0" fillId="8" borderId="13" xfId="0" applyNumberFormat="1" applyFill="1" applyBorder="1"/>
    <xf numFmtId="0" fontId="38" fillId="8" borderId="1" xfId="0" quotePrefix="1" applyFont="1" applyFill="1" applyBorder="1" applyAlignment="1">
      <alignment horizontal="center" vertical="center"/>
    </xf>
    <xf numFmtId="12" fontId="38" fillId="8" borderId="1" xfId="0" applyNumberFormat="1" applyFont="1" applyFill="1" applyBorder="1" applyAlignment="1">
      <alignment horizontal="center" vertical="center"/>
    </xf>
    <xf numFmtId="0" fontId="38" fillId="8" borderId="12" xfId="0" quotePrefix="1" applyFont="1" applyFill="1" applyBorder="1" applyAlignment="1">
      <alignment horizontal="center" vertical="center"/>
    </xf>
    <xf numFmtId="12" fontId="38" fillId="8" borderId="12" xfId="0" applyNumberFormat="1" applyFont="1" applyFill="1" applyBorder="1" applyAlignment="1">
      <alignment horizontal="center" vertical="center"/>
    </xf>
    <xf numFmtId="0" fontId="52" fillId="5" borderId="1" xfId="0" applyFont="1" applyFill="1" applyBorder="1" applyAlignment="1">
      <alignment vertical="center" wrapText="1"/>
    </xf>
    <xf numFmtId="0" fontId="52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right" vertical="center" wrapText="1"/>
    </xf>
    <xf numFmtId="0" fontId="29" fillId="5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9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8" fillId="0" borderId="1" xfId="0" applyFont="1" applyBorder="1" applyAlignment="1">
      <alignment horizontal="center" vertical="center" wrapText="1"/>
    </xf>
    <xf numFmtId="0" fontId="24" fillId="0" borderId="4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/>
    </xf>
    <xf numFmtId="0" fontId="23" fillId="2" borderId="7" xfId="1" applyFont="1" applyFill="1" applyBorder="1" applyAlignment="1">
      <alignment horizontal="center" vertical="center" wrapText="1"/>
    </xf>
    <xf numFmtId="0" fontId="23" fillId="2" borderId="8" xfId="1" applyFont="1" applyFill="1" applyBorder="1" applyAlignment="1">
      <alignment horizontal="center" vertical="center" wrapText="1"/>
    </xf>
    <xf numFmtId="0" fontId="23" fillId="2" borderId="9" xfId="1" applyFont="1" applyFill="1" applyBorder="1" applyAlignment="1">
      <alignment horizontal="center" vertical="center" wrapText="1"/>
    </xf>
    <xf numFmtId="0" fontId="23" fillId="2" borderId="10" xfId="1" applyFont="1" applyFill="1" applyBorder="1" applyAlignment="1">
      <alignment horizontal="center" vertical="center" wrapText="1"/>
    </xf>
    <xf numFmtId="0" fontId="23" fillId="2" borderId="11" xfId="1" applyFont="1" applyFill="1" applyBorder="1" applyAlignment="1">
      <alignment horizontal="center" vertical="center" wrapText="1"/>
    </xf>
    <xf numFmtId="0" fontId="23" fillId="2" borderId="6" xfId="1" applyFont="1" applyFill="1" applyBorder="1" applyAlignment="1">
      <alignment horizontal="center" vertical="center" wrapText="1"/>
    </xf>
    <xf numFmtId="14" fontId="20" fillId="2" borderId="3" xfId="1" applyNumberFormat="1" applyFont="1" applyFill="1" applyBorder="1" applyAlignment="1">
      <alignment horizontal="center" wrapText="1"/>
    </xf>
    <xf numFmtId="14" fontId="20" fillId="2" borderId="4" xfId="1" applyNumberFormat="1" applyFont="1" applyFill="1" applyBorder="1" applyAlignment="1">
      <alignment horizontal="center" wrapText="1"/>
    </xf>
    <xf numFmtId="14" fontId="20" fillId="2" borderId="5" xfId="1" applyNumberFormat="1" applyFont="1" applyFill="1" applyBorder="1" applyAlignment="1">
      <alignment horizontal="center" wrapText="1"/>
    </xf>
    <xf numFmtId="0" fontId="25" fillId="2" borderId="7" xfId="1" applyFont="1" applyFill="1" applyBorder="1" applyAlignment="1">
      <alignment horizontal="left" vertical="center" wrapText="1"/>
    </xf>
    <xf numFmtId="0" fontId="25" fillId="2" borderId="8" xfId="1" applyFont="1" applyFill="1" applyBorder="1" applyAlignment="1">
      <alignment horizontal="left" vertical="center" wrapText="1"/>
    </xf>
    <xf numFmtId="0" fontId="25" fillId="2" borderId="9" xfId="1" applyFont="1" applyFill="1" applyBorder="1" applyAlignment="1">
      <alignment horizontal="left" vertical="center" wrapText="1"/>
    </xf>
    <xf numFmtId="0" fontId="25" fillId="2" borderId="10" xfId="1" applyFont="1" applyFill="1" applyBorder="1" applyAlignment="1">
      <alignment horizontal="left" vertical="center" wrapText="1"/>
    </xf>
    <xf numFmtId="0" fontId="25" fillId="2" borderId="11" xfId="1" applyFont="1" applyFill="1" applyBorder="1" applyAlignment="1">
      <alignment horizontal="left" vertical="center" wrapText="1"/>
    </xf>
    <xf numFmtId="0" fontId="25" fillId="2" borderId="6" xfId="1" applyFont="1" applyFill="1" applyBorder="1" applyAlignment="1">
      <alignment horizontal="left" vertical="center" wrapText="1"/>
    </xf>
    <xf numFmtId="0" fontId="22" fillId="0" borderId="3" xfId="1" applyFont="1" applyBorder="1" applyAlignment="1">
      <alignment horizontal="center" vertical="center" wrapText="1"/>
    </xf>
    <xf numFmtId="0" fontId="22" fillId="0" borderId="4" xfId="1" applyFont="1" applyBorder="1" applyAlignment="1">
      <alignment horizontal="center" vertical="center" wrapText="1"/>
    </xf>
    <xf numFmtId="0" fontId="22" fillId="0" borderId="5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25" fillId="0" borderId="4" xfId="1" applyFont="1" applyBorder="1" applyAlignment="1">
      <alignment horizontal="center" vertical="center" wrapText="1"/>
    </xf>
    <xf numFmtId="0" fontId="25" fillId="0" borderId="5" xfId="1" applyFont="1" applyBorder="1" applyAlignment="1">
      <alignment horizontal="center" vertical="center" wrapText="1"/>
    </xf>
    <xf numFmtId="0" fontId="23" fillId="2" borderId="15" xfId="1" applyFont="1" applyFill="1" applyBorder="1" applyAlignment="1">
      <alignment horizontal="center" vertical="center" wrapText="1"/>
    </xf>
    <xf numFmtId="0" fontId="23" fillId="2" borderId="0" xfId="1" applyFont="1" applyFill="1" applyAlignment="1">
      <alignment horizontal="center" vertical="center" wrapText="1"/>
    </xf>
    <xf numFmtId="0" fontId="23" fillId="2" borderId="16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2" fillId="0" borderId="3" xfId="1" applyFont="1" applyBorder="1" applyAlignment="1">
      <alignment horizontal="center" wrapText="1"/>
    </xf>
    <xf numFmtId="0" fontId="22" fillId="0" borderId="4" xfId="1" applyFont="1" applyBorder="1" applyAlignment="1">
      <alignment horizontal="center" wrapText="1"/>
    </xf>
    <xf numFmtId="0" fontId="22" fillId="0" borderId="5" xfId="1" applyFont="1" applyBorder="1" applyAlignment="1">
      <alignment horizontal="center" wrapText="1"/>
    </xf>
    <xf numFmtId="0" fontId="25" fillId="2" borderId="7" xfId="1" applyFont="1" applyFill="1" applyBorder="1" applyAlignment="1">
      <alignment horizontal="center" vertical="center" wrapText="1"/>
    </xf>
    <xf numFmtId="0" fontId="25" fillId="2" borderId="8" xfId="1" applyFont="1" applyFill="1" applyBorder="1" applyAlignment="1">
      <alignment horizontal="center" vertical="center" wrapText="1"/>
    </xf>
    <xf numFmtId="0" fontId="25" fillId="2" borderId="9" xfId="1" applyFont="1" applyFill="1" applyBorder="1" applyAlignment="1">
      <alignment horizontal="center" vertical="center" wrapText="1"/>
    </xf>
    <xf numFmtId="0" fontId="25" fillId="2" borderId="10" xfId="1" applyFont="1" applyFill="1" applyBorder="1" applyAlignment="1">
      <alignment horizontal="center" vertical="center" wrapText="1"/>
    </xf>
    <xf numFmtId="0" fontId="25" fillId="2" borderId="11" xfId="1" applyFont="1" applyFill="1" applyBorder="1" applyAlignment="1">
      <alignment horizontal="center" vertical="center" wrapText="1"/>
    </xf>
    <xf numFmtId="0" fontId="25" fillId="2" borderId="6" xfId="1" applyFont="1" applyFill="1" applyBorder="1" applyAlignment="1">
      <alignment horizontal="center" vertical="center" wrapText="1"/>
    </xf>
    <xf numFmtId="0" fontId="25" fillId="2" borderId="4" xfId="1" applyFont="1" applyFill="1" applyBorder="1" applyAlignment="1">
      <alignment horizontal="center" vertical="center" wrapText="1"/>
    </xf>
    <xf numFmtId="0" fontId="25" fillId="2" borderId="5" xfId="1" applyFont="1" applyFill="1" applyBorder="1" applyAlignment="1">
      <alignment horizontal="center" vertical="center" wrapText="1"/>
    </xf>
    <xf numFmtId="14" fontId="21" fillId="0" borderId="12" xfId="0" applyNumberFormat="1" applyFont="1" applyBorder="1" applyAlignment="1">
      <alignment horizontal="center" vertical="center" wrapText="1"/>
    </xf>
    <xf numFmtId="14" fontId="21" fillId="0" borderId="14" xfId="0" applyNumberFormat="1" applyFont="1" applyBorder="1" applyAlignment="1">
      <alignment horizontal="center" vertical="center" wrapText="1"/>
    </xf>
    <xf numFmtId="14" fontId="21" fillId="0" borderId="13" xfId="0" applyNumberFormat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44" fontId="53" fillId="0" borderId="1" xfId="72" quotePrefix="1" applyNumberFormat="1" applyBorder="1" applyAlignment="1">
      <alignment horizontal="left" vertical="center"/>
    </xf>
    <xf numFmtId="44" fontId="53" fillId="0" borderId="1" xfId="72" applyNumberFormat="1" applyBorder="1" applyAlignment="1">
      <alignment vertical="center"/>
    </xf>
    <xf numFmtId="44" fontId="38" fillId="0" borderId="1" xfId="0" quotePrefix="1" applyNumberFormat="1" applyFont="1" applyBorder="1" applyAlignment="1">
      <alignment horizontal="left"/>
    </xf>
    <xf numFmtId="49" fontId="38" fillId="4" borderId="1" xfId="0" applyNumberFormat="1" applyFont="1" applyFill="1" applyBorder="1" applyAlignment="1">
      <alignment horizontal="center" vertical="center"/>
    </xf>
    <xf numFmtId="44" fontId="53" fillId="0" borderId="1" xfId="72" quotePrefix="1" applyNumberFormat="1" applyBorder="1" applyAlignment="1">
      <alignment horizontal="left"/>
    </xf>
    <xf numFmtId="44" fontId="53" fillId="0" borderId="1" xfId="72" applyNumberFormat="1" applyBorder="1"/>
    <xf numFmtId="44" fontId="53" fillId="0" borderId="1" xfId="72" quotePrefix="1" applyNumberFormat="1" applyBorder="1" applyAlignment="1">
      <alignment horizontal="center"/>
    </xf>
    <xf numFmtId="44" fontId="53" fillId="0" borderId="1" xfId="72" quotePrefix="1" applyNumberFormat="1" applyBorder="1" applyAlignment="1">
      <alignment horizontal="center" vertical="center"/>
    </xf>
  </cellXfs>
  <cellStyles count="73">
    <cellStyle name="Cabecera 1" xfId="2" xr:uid="{00000000-0005-0000-0000-000000000000}"/>
    <cellStyle name="Cabecera 2" xfId="3" xr:uid="{00000000-0005-0000-0000-000001000000}"/>
    <cellStyle name="category" xfId="4" xr:uid="{00000000-0005-0000-0000-000002000000}"/>
    <cellStyle name="Comma" xfId="71" builtinId="3"/>
    <cellStyle name="Comma 2" xfId="5" xr:uid="{00000000-0005-0000-0000-000003000000}"/>
    <cellStyle name="Comma 2 2" xfId="32" xr:uid="{00000000-0005-0000-0000-000004000000}"/>
    <cellStyle name="Currency $" xfId="6" xr:uid="{00000000-0005-0000-0000-000005000000}"/>
    <cellStyle name="Date" xfId="7" xr:uid="{00000000-0005-0000-0000-000006000000}"/>
    <cellStyle name="Fecha" xfId="8" xr:uid="{00000000-0005-0000-0000-000007000000}"/>
    <cellStyle name="Fijo" xfId="9" xr:uid="{00000000-0005-0000-0000-000008000000}"/>
    <cellStyle name="Grey" xfId="10" xr:uid="{00000000-0005-0000-0000-000009000000}"/>
    <cellStyle name="HEADER" xfId="11" xr:uid="{00000000-0005-0000-0000-00000A000000}"/>
    <cellStyle name="Hyperlink" xfId="72" builtinId="8"/>
    <cellStyle name="Input [yellow]" xfId="12" xr:uid="{00000000-0005-0000-0000-00000B000000}"/>
    <cellStyle name="Millares_DIM" xfId="13" xr:uid="{00000000-0005-0000-0000-00000C000000}"/>
    <cellStyle name="Model" xfId="14" xr:uid="{00000000-0005-0000-0000-00000D000000}"/>
    <cellStyle name="Moneda_DIM" xfId="15" xr:uid="{00000000-0005-0000-0000-00000E000000}"/>
    <cellStyle name="Monetario0" xfId="16" xr:uid="{00000000-0005-0000-0000-00000F000000}"/>
    <cellStyle name="New Times Roman" xfId="17" xr:uid="{00000000-0005-0000-0000-000010000000}"/>
    <cellStyle name="Normal" xfId="0" builtinId="0"/>
    <cellStyle name="Normal - Style1" xfId="18" xr:uid="{00000000-0005-0000-0000-000012000000}"/>
    <cellStyle name="Normal 2" xfId="1" xr:uid="{00000000-0005-0000-0000-000013000000}"/>
    <cellStyle name="Normal 2 2" xfId="19" xr:uid="{00000000-0005-0000-0000-000014000000}"/>
    <cellStyle name="Normal 2 2 2" xfId="33" xr:uid="{00000000-0005-0000-0000-000015000000}"/>
    <cellStyle name="Normal 2 2 2 2" xfId="34" xr:uid="{00000000-0005-0000-0000-000016000000}"/>
    <cellStyle name="Normal 2 2 2 2 2" xfId="35" xr:uid="{00000000-0005-0000-0000-000017000000}"/>
    <cellStyle name="Normal 2 2 2 2 2 2" xfId="36" xr:uid="{00000000-0005-0000-0000-000018000000}"/>
    <cellStyle name="Normal 2 2 2 2 2 2 2" xfId="37" xr:uid="{00000000-0005-0000-0000-000019000000}"/>
    <cellStyle name="Normal 2 2 2 2 2 3" xfId="38" xr:uid="{00000000-0005-0000-0000-00001A000000}"/>
    <cellStyle name="Normal 2 2 2 2 3" xfId="39" xr:uid="{00000000-0005-0000-0000-00001B000000}"/>
    <cellStyle name="Normal 2 2 2 2 3 2" xfId="40" xr:uid="{00000000-0005-0000-0000-00001C000000}"/>
    <cellStyle name="Normal 2 2 2 3" xfId="41" xr:uid="{00000000-0005-0000-0000-00001D000000}"/>
    <cellStyle name="Normal 2 2 2 4" xfId="42" xr:uid="{00000000-0005-0000-0000-00001E000000}"/>
    <cellStyle name="Normal 2 2 2 4 2" xfId="43" xr:uid="{00000000-0005-0000-0000-00001F000000}"/>
    <cellStyle name="Normal 2 2 2 5" xfId="44" xr:uid="{00000000-0005-0000-0000-000020000000}"/>
    <cellStyle name="Normal 2 2 3" xfId="45" xr:uid="{00000000-0005-0000-0000-000021000000}"/>
    <cellStyle name="Normal 2 2 3 2" xfId="46" xr:uid="{00000000-0005-0000-0000-000022000000}"/>
    <cellStyle name="Normal 2 2 3 2 2" xfId="47" xr:uid="{00000000-0005-0000-0000-000023000000}"/>
    <cellStyle name="Normal 2 2 3 2 2 2" xfId="48" xr:uid="{00000000-0005-0000-0000-000024000000}"/>
    <cellStyle name="Normal 2 2 3 2 3" xfId="49" xr:uid="{00000000-0005-0000-0000-000025000000}"/>
    <cellStyle name="Normal 2 2 3 3" xfId="50" xr:uid="{00000000-0005-0000-0000-000026000000}"/>
    <cellStyle name="Normal 2 2 3 3 2" xfId="51" xr:uid="{00000000-0005-0000-0000-000027000000}"/>
    <cellStyle name="Normal 2 2 4" xfId="52" xr:uid="{00000000-0005-0000-0000-000028000000}"/>
    <cellStyle name="Normal 2 2 4 2" xfId="53" xr:uid="{00000000-0005-0000-0000-000029000000}"/>
    <cellStyle name="Normal 2 2 5" xfId="54" xr:uid="{00000000-0005-0000-0000-00002A000000}"/>
    <cellStyle name="Normal 2 3" xfId="55" xr:uid="{00000000-0005-0000-0000-00002B000000}"/>
    <cellStyle name="Normal 2 4" xfId="56" xr:uid="{00000000-0005-0000-0000-00002C000000}"/>
    <cellStyle name="Normal 2 5" xfId="57" xr:uid="{00000000-0005-0000-0000-00002D000000}"/>
    <cellStyle name="Normal 2 6" xfId="58" xr:uid="{00000000-0005-0000-0000-00002E000000}"/>
    <cellStyle name="Normal 2 7" xfId="59" xr:uid="{00000000-0005-0000-0000-00002F000000}"/>
    <cellStyle name="Normal 3" xfId="20" xr:uid="{00000000-0005-0000-0000-000030000000}"/>
    <cellStyle name="Normal 3 2" xfId="60" xr:uid="{00000000-0005-0000-0000-000031000000}"/>
    <cellStyle name="Normal 3 3" xfId="61" xr:uid="{00000000-0005-0000-0000-000032000000}"/>
    <cellStyle name="Normal 3 4" xfId="62" xr:uid="{00000000-0005-0000-0000-000033000000}"/>
    <cellStyle name="Normal 4" xfId="21" xr:uid="{00000000-0005-0000-0000-000034000000}"/>
    <cellStyle name="Normal 4 2" xfId="22" xr:uid="{00000000-0005-0000-0000-000035000000}"/>
    <cellStyle name="Normal 5" xfId="23" xr:uid="{00000000-0005-0000-0000-000036000000}"/>
    <cellStyle name="Normal 5 2" xfId="63" xr:uid="{00000000-0005-0000-0000-000037000000}"/>
    <cellStyle name="Normal 6" xfId="24" xr:uid="{00000000-0005-0000-0000-000038000000}"/>
    <cellStyle name="Normal 6 2" xfId="64" xr:uid="{00000000-0005-0000-0000-000039000000}"/>
    <cellStyle name="Normal 7 2" xfId="65" xr:uid="{00000000-0005-0000-0000-00003A000000}"/>
    <cellStyle name="Normal 8 2" xfId="66" xr:uid="{00000000-0005-0000-0000-00003B000000}"/>
    <cellStyle name="Normal 9 2" xfId="67" xr:uid="{00000000-0005-0000-0000-00003C000000}"/>
    <cellStyle name="Œ…‹æØ‚è [0.00]_PRODUCT DETAIL Q1" xfId="25" xr:uid="{00000000-0005-0000-0000-00003D000000}"/>
    <cellStyle name="Œ…‹æØ‚è_PRODUCT DETAIL Q1" xfId="26" xr:uid="{00000000-0005-0000-0000-00003E000000}"/>
    <cellStyle name="Percent [2]" xfId="27" xr:uid="{00000000-0005-0000-0000-00003F000000}"/>
    <cellStyle name="Percent 2" xfId="28" xr:uid="{00000000-0005-0000-0000-000040000000}"/>
    <cellStyle name="Percent 2 2" xfId="68" xr:uid="{00000000-0005-0000-0000-000041000000}"/>
    <cellStyle name="Percent 3 2" xfId="69" xr:uid="{00000000-0005-0000-0000-000042000000}"/>
    <cellStyle name="Porcentual_DIM" xfId="29" xr:uid="{00000000-0005-0000-0000-000043000000}"/>
    <cellStyle name="Punto0" xfId="30" xr:uid="{00000000-0005-0000-0000-000044000000}"/>
    <cellStyle name="subhead" xfId="31" xr:uid="{00000000-0005-0000-0000-000045000000}"/>
    <cellStyle name="표준 2" xfId="70" xr:uid="{00000000-0005-0000-0000-000046000000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263807</xdr:colOff>
      <xdr:row>3</xdr:row>
      <xdr:rowOff>171450</xdr:rowOff>
    </xdr:to>
    <xdr:pic>
      <xdr:nvPicPr>
        <xdr:cNvPr id="2" name="Picture 1" descr="Mono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66675"/>
          <a:ext cx="568607" cy="666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263807</xdr:colOff>
      <xdr:row>3</xdr:row>
      <xdr:rowOff>171450</xdr:rowOff>
    </xdr:to>
    <xdr:pic>
      <xdr:nvPicPr>
        <xdr:cNvPr id="2" name="Picture 1" descr="Mono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66675"/>
          <a:ext cx="568607" cy="666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263807</xdr:colOff>
      <xdr:row>3</xdr:row>
      <xdr:rowOff>171450</xdr:rowOff>
    </xdr:to>
    <xdr:pic>
      <xdr:nvPicPr>
        <xdr:cNvPr id="2" name="Picture 1" descr="Mono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66675"/>
          <a:ext cx="568607" cy="666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263807</xdr:colOff>
      <xdr:row>3</xdr:row>
      <xdr:rowOff>171450</xdr:rowOff>
    </xdr:to>
    <xdr:pic>
      <xdr:nvPicPr>
        <xdr:cNvPr id="2" name="Picture 1" descr="Mono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66675"/>
          <a:ext cx="568607" cy="666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iyamsqf2\work\Documents%20and%20Settings\j.jayaveerapandian\My%20Documents\6monthg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%5Ebalakrishna.b@gmail.com" TargetMode="External"/><Relationship Id="rId13" Type="http://schemas.openxmlformats.org/officeDocument/2006/relationships/hyperlink" Target="mailto:%5Ee.rajesh@precifast.in" TargetMode="External"/><Relationship Id="rId18" Type="http://schemas.openxmlformats.org/officeDocument/2006/relationships/hyperlink" Target="mailto:%5Edilli.d@precifast.in" TargetMode="External"/><Relationship Id="rId3" Type="http://schemas.openxmlformats.org/officeDocument/2006/relationships/hyperlink" Target="mailto:maintenance@precifast.in" TargetMode="External"/><Relationship Id="rId7" Type="http://schemas.openxmlformats.org/officeDocument/2006/relationships/hyperlink" Target="mailto:parandama@precifast.in" TargetMode="External"/><Relationship Id="rId12" Type="http://schemas.openxmlformats.org/officeDocument/2006/relationships/hyperlink" Target="mailto:%5Ee.rajesh@precifast.in" TargetMode="External"/><Relationship Id="rId17" Type="http://schemas.openxmlformats.org/officeDocument/2006/relationships/hyperlink" Target="mailto:%5Edilli.d@precifast.in" TargetMode="External"/><Relationship Id="rId2" Type="http://schemas.openxmlformats.org/officeDocument/2006/relationships/hyperlink" Target="mailto:dilli.d@precifast.in" TargetMode="External"/><Relationship Id="rId16" Type="http://schemas.openxmlformats.org/officeDocument/2006/relationships/hyperlink" Target="mailto:%5Ee.rajesh@precifast.in" TargetMode="External"/><Relationship Id="rId1" Type="http://schemas.openxmlformats.org/officeDocument/2006/relationships/hyperlink" Target="mailto:dilli.d@precifast.in" TargetMode="External"/><Relationship Id="rId6" Type="http://schemas.openxmlformats.org/officeDocument/2006/relationships/hyperlink" Target="mailto:prod@precifast.in" TargetMode="External"/><Relationship Id="rId11" Type="http://schemas.openxmlformats.org/officeDocument/2006/relationships/hyperlink" Target="mailto:%5Ee.rajesh@precifast.in" TargetMode="External"/><Relationship Id="rId5" Type="http://schemas.openxmlformats.org/officeDocument/2006/relationships/hyperlink" Target="mailto:sqa@precifast.in" TargetMode="External"/><Relationship Id="rId15" Type="http://schemas.openxmlformats.org/officeDocument/2006/relationships/hyperlink" Target="mailto:%5Ee.rajesh@precifast.in" TargetMode="External"/><Relationship Id="rId10" Type="http://schemas.openxmlformats.org/officeDocument/2006/relationships/hyperlink" Target="mailto:%5Ebalakrishna.b@gmail.com" TargetMode="External"/><Relationship Id="rId4" Type="http://schemas.openxmlformats.org/officeDocument/2006/relationships/hyperlink" Target="mailto:maintenance@precifast.in" TargetMode="External"/><Relationship Id="rId9" Type="http://schemas.openxmlformats.org/officeDocument/2006/relationships/hyperlink" Target="mailto:%5Ebalakrishna.b@gmail.com" TargetMode="External"/><Relationship Id="rId14" Type="http://schemas.openxmlformats.org/officeDocument/2006/relationships/hyperlink" Target="mailto:%5Esqa@precifas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M28"/>
  <sheetViews>
    <sheetView zoomScale="90" zoomScaleNormal="90" zoomScaleSheetLayoutView="100" workbookViewId="0">
      <selection activeCell="E7" sqref="E7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5.33203125" style="36" customWidth="1"/>
    <col min="5" max="5" width="17" style="19" customWidth="1"/>
    <col min="6" max="6" width="22" style="19" bestFit="1" customWidth="1"/>
    <col min="7" max="7" width="17" style="19" customWidth="1"/>
    <col min="8" max="8" width="15.6640625" style="19" bestFit="1" customWidth="1"/>
    <col min="9" max="10" width="15.6640625" style="19" customWidth="1"/>
    <col min="11" max="11" width="11.6640625" style="19" customWidth="1"/>
    <col min="12" max="12" width="15.109375" style="19" bestFit="1" customWidth="1"/>
    <col min="13" max="13" width="27.6640625" style="19" customWidth="1"/>
    <col min="14" max="14" width="9.109375" style="19"/>
    <col min="15" max="15" width="11.5546875" style="19" bestFit="1" customWidth="1"/>
    <col min="16" max="16" width="11.6640625" style="19" bestFit="1" customWidth="1"/>
    <col min="17" max="16384" width="9.109375" style="19"/>
  </cols>
  <sheetData>
    <row r="1" spans="1:13" ht="14.25" customHeight="1">
      <c r="A1" s="186" t="s">
        <v>274</v>
      </c>
      <c r="B1" s="187"/>
      <c r="C1" s="187"/>
      <c r="D1" s="187"/>
      <c r="E1" s="187"/>
      <c r="F1" s="187"/>
      <c r="G1" s="187"/>
      <c r="H1" s="187"/>
      <c r="I1" s="187"/>
      <c r="J1" s="187"/>
      <c r="K1" s="188"/>
      <c r="L1" s="17" t="s">
        <v>104</v>
      </c>
      <c r="M1" s="33"/>
    </row>
    <row r="2" spans="1:13" ht="18" customHeight="1">
      <c r="A2" s="189"/>
      <c r="B2" s="190"/>
      <c r="C2" s="190"/>
      <c r="D2" s="190"/>
      <c r="E2" s="190"/>
      <c r="F2" s="190"/>
      <c r="G2" s="190"/>
      <c r="H2" s="190"/>
      <c r="I2" s="190"/>
      <c r="J2" s="190"/>
      <c r="K2" s="191"/>
      <c r="L2" s="17" t="s">
        <v>105</v>
      </c>
      <c r="M2" s="33"/>
    </row>
    <row r="3" spans="1:13" ht="14.25" customHeight="1">
      <c r="A3" s="195" t="s">
        <v>269</v>
      </c>
      <c r="B3" s="196"/>
      <c r="C3" s="196"/>
      <c r="D3" s="196"/>
      <c r="E3" s="196"/>
      <c r="F3" s="197"/>
      <c r="G3" s="81" t="s">
        <v>267</v>
      </c>
      <c r="H3" s="192">
        <v>45357</v>
      </c>
      <c r="I3" s="193"/>
      <c r="J3" s="193"/>
      <c r="K3" s="194"/>
      <c r="L3" s="20" t="s">
        <v>106</v>
      </c>
      <c r="M3" s="34"/>
    </row>
    <row r="4" spans="1:13" s="23" customFormat="1" ht="15" customHeight="1">
      <c r="A4" s="198"/>
      <c r="B4" s="199"/>
      <c r="C4" s="199"/>
      <c r="D4" s="199"/>
      <c r="E4" s="199"/>
      <c r="F4" s="200"/>
      <c r="G4" s="81" t="s">
        <v>268</v>
      </c>
      <c r="H4" s="192">
        <v>45453</v>
      </c>
      <c r="I4" s="193"/>
      <c r="J4" s="193"/>
      <c r="K4" s="194"/>
      <c r="L4" s="30" t="s">
        <v>107</v>
      </c>
      <c r="M4" s="22">
        <v>45357</v>
      </c>
    </row>
    <row r="5" spans="1:13" s="23" customFormat="1" ht="37.5" customHeight="1">
      <c r="A5" s="15" t="s">
        <v>273</v>
      </c>
      <c r="B5" s="24" t="s">
        <v>4</v>
      </c>
      <c r="C5" s="24" t="s">
        <v>5</v>
      </c>
      <c r="D5" s="24" t="s">
        <v>110</v>
      </c>
      <c r="E5" s="64" t="s">
        <v>6</v>
      </c>
      <c r="F5" s="24" t="s">
        <v>9</v>
      </c>
      <c r="G5" s="24" t="s">
        <v>7</v>
      </c>
      <c r="H5" s="24" t="s">
        <v>14</v>
      </c>
      <c r="I5" s="24" t="s">
        <v>270</v>
      </c>
      <c r="J5" s="24" t="s">
        <v>271</v>
      </c>
      <c r="K5" s="24" t="s">
        <v>272</v>
      </c>
      <c r="L5" s="24" t="s">
        <v>121</v>
      </c>
      <c r="M5" s="24" t="s">
        <v>15</v>
      </c>
    </row>
    <row r="6" spans="1:13" s="23" customFormat="1" ht="20.25" customHeight="1">
      <c r="A6" s="25">
        <v>1</v>
      </c>
      <c r="B6" s="26" t="s">
        <v>303</v>
      </c>
      <c r="C6" s="59" t="s">
        <v>304</v>
      </c>
      <c r="D6" s="57" t="s">
        <v>275</v>
      </c>
      <c r="E6" s="94" t="s">
        <v>277</v>
      </c>
      <c r="F6" s="69" t="s">
        <v>276</v>
      </c>
      <c r="G6" s="57">
        <v>20000</v>
      </c>
      <c r="H6" s="67">
        <f>G6*0.042</f>
        <v>840</v>
      </c>
      <c r="I6" s="90">
        <v>45357</v>
      </c>
      <c r="J6" s="80"/>
      <c r="K6" s="80"/>
      <c r="L6" s="16">
        <v>1</v>
      </c>
      <c r="M6" s="44"/>
    </row>
    <row r="7" spans="1:13" s="23" customFormat="1" ht="20.25" customHeight="1">
      <c r="A7" s="25">
        <v>2</v>
      </c>
      <c r="B7" s="26" t="s">
        <v>305</v>
      </c>
      <c r="C7" s="59" t="s">
        <v>306</v>
      </c>
      <c r="D7" s="57" t="s">
        <v>307</v>
      </c>
      <c r="E7" s="94" t="s">
        <v>277</v>
      </c>
      <c r="F7" s="69" t="s">
        <v>276</v>
      </c>
      <c r="G7" s="57">
        <v>100000</v>
      </c>
      <c r="H7" s="67">
        <f>G7*0.053</f>
        <v>5300</v>
      </c>
      <c r="I7" s="84"/>
      <c r="J7" s="83"/>
      <c r="K7" s="16"/>
      <c r="L7" s="16">
        <v>2</v>
      </c>
      <c r="M7" s="44"/>
    </row>
    <row r="8" spans="1:13" s="23" customFormat="1" ht="20.25" customHeight="1">
      <c r="A8" s="25">
        <v>3</v>
      </c>
      <c r="B8" s="92" t="s">
        <v>308</v>
      </c>
      <c r="C8" s="59" t="s">
        <v>309</v>
      </c>
      <c r="D8" s="57" t="s">
        <v>310</v>
      </c>
      <c r="E8" s="94" t="s">
        <v>277</v>
      </c>
      <c r="F8" s="69" t="s">
        <v>276</v>
      </c>
      <c r="G8" s="57">
        <v>15000</v>
      </c>
      <c r="H8" s="67">
        <f>G8*0.012</f>
        <v>180</v>
      </c>
      <c r="I8" s="84"/>
      <c r="J8" s="83"/>
      <c r="K8" s="16"/>
      <c r="L8" s="16"/>
      <c r="M8" s="44"/>
    </row>
    <row r="9" spans="1:13" s="23" customFormat="1" ht="20.25" customHeight="1">
      <c r="A9" s="25">
        <v>4</v>
      </c>
      <c r="B9" s="93" t="s">
        <v>48</v>
      </c>
      <c r="C9" s="57" t="s">
        <v>311</v>
      </c>
      <c r="D9" s="16" t="s">
        <v>312</v>
      </c>
      <c r="E9" s="94" t="s">
        <v>277</v>
      </c>
      <c r="F9" s="69" t="s">
        <v>230</v>
      </c>
      <c r="G9" s="16">
        <v>2000</v>
      </c>
      <c r="H9" s="57">
        <f>G9*0.016</f>
        <v>32</v>
      </c>
      <c r="I9" s="84"/>
      <c r="J9" s="83"/>
      <c r="K9" s="25"/>
      <c r="L9" s="25"/>
      <c r="M9" s="44"/>
    </row>
    <row r="10" spans="1:13" s="23" customFormat="1" ht="20.25" customHeight="1">
      <c r="A10" s="25">
        <v>5</v>
      </c>
      <c r="B10" s="45" t="s">
        <v>313</v>
      </c>
      <c r="C10" s="45" t="s">
        <v>314</v>
      </c>
      <c r="D10" s="16" t="s">
        <v>284</v>
      </c>
      <c r="E10" s="94" t="s">
        <v>277</v>
      </c>
      <c r="F10" s="69" t="s">
        <v>315</v>
      </c>
      <c r="G10" s="16">
        <v>5000</v>
      </c>
      <c r="H10" s="57">
        <f>G10*0.063</f>
        <v>315</v>
      </c>
      <c r="I10" s="57"/>
      <c r="J10" s="57"/>
      <c r="K10" s="25"/>
      <c r="L10" s="25"/>
      <c r="M10" s="25"/>
    </row>
    <row r="11" spans="1:13" s="23" customFormat="1" ht="20.25" customHeight="1">
      <c r="A11" s="25">
        <v>6</v>
      </c>
      <c r="B11" s="45" t="s">
        <v>316</v>
      </c>
      <c r="C11" s="45" t="s">
        <v>317</v>
      </c>
      <c r="D11" s="16" t="s">
        <v>284</v>
      </c>
      <c r="E11" s="94" t="s">
        <v>277</v>
      </c>
      <c r="F11" s="69" t="s">
        <v>315</v>
      </c>
      <c r="G11" s="16">
        <v>5000</v>
      </c>
      <c r="H11" s="57">
        <f>G11*0.0715</f>
        <v>357.49999999999994</v>
      </c>
      <c r="I11" s="57"/>
      <c r="J11" s="57"/>
      <c r="K11" s="25"/>
      <c r="L11" s="25"/>
      <c r="M11" s="25"/>
    </row>
    <row r="12" spans="1:13" s="23" customFormat="1" ht="20.25" customHeight="1">
      <c r="A12" s="25">
        <v>7</v>
      </c>
      <c r="B12" s="45" t="s">
        <v>318</v>
      </c>
      <c r="C12" s="45" t="s">
        <v>319</v>
      </c>
      <c r="D12" s="16" t="s">
        <v>236</v>
      </c>
      <c r="E12" s="94" t="s">
        <v>277</v>
      </c>
      <c r="F12" s="69" t="s">
        <v>276</v>
      </c>
      <c r="G12" s="16">
        <v>100000</v>
      </c>
      <c r="H12" s="57">
        <f>G12*0.00575</f>
        <v>575</v>
      </c>
      <c r="I12" s="57"/>
      <c r="J12" s="57"/>
      <c r="K12" s="25"/>
      <c r="L12" s="25"/>
      <c r="M12" s="25"/>
    </row>
    <row r="13" spans="1:13" s="23" customFormat="1" ht="20.25" customHeight="1">
      <c r="A13" s="25">
        <v>8</v>
      </c>
      <c r="B13" s="45" t="s">
        <v>320</v>
      </c>
      <c r="C13" s="45" t="s">
        <v>321</v>
      </c>
      <c r="D13" s="16" t="s">
        <v>322</v>
      </c>
      <c r="E13" s="94" t="s">
        <v>277</v>
      </c>
      <c r="F13" s="69" t="s">
        <v>323</v>
      </c>
      <c r="G13" s="16">
        <v>20000</v>
      </c>
      <c r="H13" s="57">
        <f>G13*0.008</f>
        <v>160</v>
      </c>
      <c r="I13" s="57"/>
      <c r="J13" s="57"/>
      <c r="K13" s="25"/>
      <c r="L13" s="25"/>
      <c r="M13" s="25"/>
    </row>
    <row r="14" spans="1:13" s="23" customFormat="1" ht="20.25" hidden="1" customHeight="1">
      <c r="A14" s="25"/>
      <c r="B14" s="45"/>
      <c r="C14" s="16"/>
      <c r="D14" s="16"/>
      <c r="E14" s="50"/>
      <c r="F14" s="69"/>
      <c r="G14" s="16"/>
      <c r="H14" s="57"/>
      <c r="I14" s="57"/>
      <c r="J14" s="57"/>
      <c r="K14" s="25"/>
      <c r="L14" s="25"/>
      <c r="M14" s="25"/>
    </row>
    <row r="15" spans="1:13" s="23" customFormat="1" ht="20.25" hidden="1" customHeight="1">
      <c r="A15" s="25"/>
      <c r="B15" s="45"/>
      <c r="C15" s="16"/>
      <c r="D15" s="16"/>
      <c r="E15" s="50"/>
      <c r="F15" s="69"/>
      <c r="G15" s="16"/>
      <c r="H15" s="57"/>
      <c r="I15" s="57"/>
      <c r="J15" s="57"/>
      <c r="K15" s="25"/>
      <c r="L15" s="25"/>
      <c r="M15" s="25"/>
    </row>
    <row r="16" spans="1:13" s="23" customFormat="1" ht="20.25" hidden="1" customHeight="1">
      <c r="A16" s="25"/>
      <c r="B16" s="45"/>
      <c r="C16" s="45"/>
      <c r="D16" s="16"/>
      <c r="E16" s="50"/>
      <c r="F16" s="69"/>
      <c r="G16" s="16"/>
      <c r="H16" s="57"/>
      <c r="I16" s="57"/>
      <c r="J16" s="57"/>
      <c r="K16" s="25"/>
      <c r="L16" s="25"/>
      <c r="M16" s="25"/>
    </row>
    <row r="17" spans="1:13" s="23" customFormat="1" ht="20.25" hidden="1" customHeight="1">
      <c r="A17" s="25"/>
      <c r="B17" s="45"/>
      <c r="C17" s="45"/>
      <c r="D17" s="16"/>
      <c r="E17" s="50"/>
      <c r="F17" s="69"/>
      <c r="G17" s="16"/>
      <c r="H17" s="57"/>
      <c r="I17" s="57"/>
      <c r="J17" s="57"/>
      <c r="K17" s="25"/>
      <c r="L17" s="25"/>
      <c r="M17" s="25"/>
    </row>
    <row r="18" spans="1:13" s="23" customFormat="1" ht="20.25" hidden="1" customHeight="1">
      <c r="A18" s="25"/>
      <c r="B18" s="45"/>
      <c r="C18" s="16"/>
      <c r="D18" s="16"/>
      <c r="E18" s="50"/>
      <c r="F18" s="69"/>
      <c r="G18" s="16"/>
      <c r="H18" s="57"/>
      <c r="I18" s="57"/>
      <c r="J18" s="57"/>
      <c r="K18" s="25"/>
      <c r="L18" s="25"/>
      <c r="M18" s="25"/>
    </row>
    <row r="19" spans="1:13" s="23" customFormat="1" ht="20.25" hidden="1" customHeight="1">
      <c r="A19" s="25"/>
      <c r="B19" s="45"/>
      <c r="C19" s="45"/>
      <c r="D19" s="16"/>
      <c r="E19" s="50"/>
      <c r="F19" s="69"/>
      <c r="G19" s="16"/>
      <c r="H19" s="57"/>
      <c r="I19" s="57"/>
      <c r="J19" s="57"/>
      <c r="K19" s="25"/>
      <c r="L19" s="25"/>
      <c r="M19" s="25"/>
    </row>
    <row r="20" spans="1:13" s="23" customFormat="1" ht="20.25" hidden="1" customHeight="1">
      <c r="A20" s="25"/>
      <c r="B20" s="45"/>
      <c r="C20" s="45"/>
      <c r="D20" s="16"/>
      <c r="E20" s="50"/>
      <c r="F20" s="69"/>
      <c r="G20" s="16"/>
      <c r="H20" s="57"/>
      <c r="I20" s="57"/>
      <c r="J20" s="57"/>
      <c r="K20" s="25"/>
      <c r="L20" s="25"/>
      <c r="M20" s="25"/>
    </row>
    <row r="21" spans="1:13" s="23" customFormat="1" ht="20.25" hidden="1" customHeight="1">
      <c r="A21" s="25"/>
      <c r="B21" s="45"/>
      <c r="C21" s="57"/>
      <c r="D21" s="16"/>
      <c r="E21" s="50"/>
      <c r="F21" s="69"/>
      <c r="G21" s="16"/>
      <c r="H21" s="57"/>
      <c r="I21" s="57"/>
      <c r="J21" s="57"/>
      <c r="K21" s="25"/>
      <c r="L21" s="25"/>
      <c r="M21" s="25"/>
    </row>
    <row r="22" spans="1:13" s="23" customFormat="1" ht="20.25" hidden="1" customHeight="1">
      <c r="A22" s="25"/>
      <c r="B22" s="45"/>
      <c r="C22" s="57"/>
      <c r="D22" s="57"/>
      <c r="E22" s="50"/>
      <c r="F22" s="66"/>
      <c r="G22" s="16"/>
      <c r="H22" s="57"/>
      <c r="I22" s="57"/>
      <c r="J22" s="57"/>
      <c r="K22" s="25"/>
      <c r="L22" s="25"/>
      <c r="M22" s="25"/>
    </row>
    <row r="23" spans="1:13" s="23" customFormat="1" ht="20.25" customHeight="1">
      <c r="A23" s="204" t="s">
        <v>279</v>
      </c>
      <c r="B23" s="205"/>
      <c r="C23" s="205"/>
      <c r="D23" s="205"/>
      <c r="E23" s="205"/>
      <c r="F23" s="206"/>
      <c r="G23" s="60">
        <f>SUM(G6:G22)</f>
        <v>267000</v>
      </c>
      <c r="H23" s="61">
        <f>SUM(H6:H22)</f>
        <v>7759.5</v>
      </c>
      <c r="I23" s="61"/>
      <c r="J23" s="61"/>
      <c r="K23" s="16"/>
      <c r="L23" s="16"/>
      <c r="M23" s="25"/>
    </row>
    <row r="24" spans="1:13" s="23" customFormat="1" ht="36.75" customHeight="1">
      <c r="A24" s="25"/>
      <c r="B24" s="55" t="s">
        <v>201</v>
      </c>
      <c r="C24" s="32" t="s">
        <v>203</v>
      </c>
      <c r="D24" s="48" t="s">
        <v>206</v>
      </c>
      <c r="E24" s="48" t="s">
        <v>207</v>
      </c>
      <c r="F24" s="48" t="s">
        <v>204</v>
      </c>
      <c r="G24" s="82"/>
      <c r="H24" s="51"/>
      <c r="I24" s="51"/>
      <c r="J24" s="51"/>
      <c r="K24" s="25"/>
      <c r="L24" s="25"/>
      <c r="M24" s="25"/>
    </row>
    <row r="25" spans="1:13" s="23" customFormat="1" ht="20.25" customHeight="1">
      <c r="A25" s="25"/>
      <c r="B25" s="53" t="s">
        <v>208</v>
      </c>
      <c r="C25" s="25">
        <f>9*60*0.75*100</f>
        <v>40500</v>
      </c>
      <c r="D25" s="39">
        <f>9*26*100*60*0.75</f>
        <v>1053000</v>
      </c>
      <c r="E25" s="24">
        <f>G23</f>
        <v>267000</v>
      </c>
      <c r="F25" s="56">
        <f>E25/C25</f>
        <v>6.5925925925925926</v>
      </c>
      <c r="G25" s="82"/>
      <c r="H25" s="51"/>
      <c r="I25" s="51"/>
      <c r="J25" s="51"/>
      <c r="K25" s="25"/>
      <c r="L25" s="16"/>
      <c r="M25" s="16"/>
    </row>
    <row r="26" spans="1:13" s="23" customFormat="1" ht="20.25" customHeight="1">
      <c r="A26" s="25"/>
      <c r="B26" s="42"/>
      <c r="C26" s="16"/>
      <c r="D26" s="38"/>
      <c r="E26" s="50"/>
      <c r="F26" s="16"/>
      <c r="G26" s="16"/>
      <c r="H26" s="16"/>
      <c r="I26" s="16"/>
      <c r="J26" s="16"/>
      <c r="K26" s="16"/>
      <c r="L26" s="16"/>
      <c r="M26" s="16"/>
    </row>
    <row r="27" spans="1:13" ht="39" customHeight="1">
      <c r="A27" s="201" t="s">
        <v>278</v>
      </c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3"/>
    </row>
    <row r="28" spans="1:13" ht="26.25" customHeight="1">
      <c r="A28" s="32" t="s">
        <v>116</v>
      </c>
      <c r="B28" s="184" t="s">
        <v>280</v>
      </c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5"/>
    </row>
  </sheetData>
  <mergeCells count="7">
    <mergeCell ref="B28:M28"/>
    <mergeCell ref="A1:K2"/>
    <mergeCell ref="H3:K3"/>
    <mergeCell ref="H4:K4"/>
    <mergeCell ref="A3:F4"/>
    <mergeCell ref="A27:M27"/>
    <mergeCell ref="A23:F23"/>
  </mergeCells>
  <printOptions horizontalCentered="1" verticalCentered="1"/>
  <pageMargins left="0.26" right="0.15" top="0.25" bottom="0.37" header="0.17" footer="0.16"/>
  <pageSetup paperSize="9" scale="6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 filterMode="1">
    <pageSetUpPr fitToPage="1"/>
  </sheetPr>
  <dimension ref="A1:M43"/>
  <sheetViews>
    <sheetView zoomScale="80" zoomScaleNormal="80" zoomScaleSheetLayoutView="100" workbookViewId="0">
      <selection activeCell="H38" sqref="H38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5.33203125" style="36" customWidth="1"/>
    <col min="5" max="5" width="17" style="19" customWidth="1"/>
    <col min="6" max="6" width="22" style="19" bestFit="1" customWidth="1"/>
    <col min="7" max="7" width="17" style="19" customWidth="1"/>
    <col min="8" max="8" width="15.6640625" style="19" bestFit="1" customWidth="1"/>
    <col min="9" max="10" width="15.6640625" style="19" customWidth="1"/>
    <col min="11" max="11" width="11.6640625" style="19" customWidth="1"/>
    <col min="12" max="12" width="15.109375" style="19" bestFit="1" customWidth="1"/>
    <col min="13" max="13" width="27.6640625" style="19" customWidth="1"/>
    <col min="14" max="14" width="9.109375" style="19"/>
    <col min="15" max="15" width="11.5546875" style="19" bestFit="1" customWidth="1"/>
    <col min="16" max="16" width="11.6640625" style="19" bestFit="1" customWidth="1"/>
    <col min="17" max="16384" width="9.109375" style="19"/>
  </cols>
  <sheetData>
    <row r="1" spans="1:13" ht="14.25" customHeight="1">
      <c r="A1" s="186" t="s">
        <v>274</v>
      </c>
      <c r="B1" s="187"/>
      <c r="C1" s="187"/>
      <c r="D1" s="187"/>
      <c r="E1" s="187"/>
      <c r="F1" s="187"/>
      <c r="G1" s="187"/>
      <c r="H1" s="187"/>
      <c r="I1" s="187"/>
      <c r="J1" s="187"/>
      <c r="K1" s="188"/>
      <c r="L1" s="17" t="s">
        <v>104</v>
      </c>
      <c r="M1" s="33"/>
    </row>
    <row r="2" spans="1:13" ht="18" customHeight="1">
      <c r="A2" s="189"/>
      <c r="B2" s="190"/>
      <c r="C2" s="190"/>
      <c r="D2" s="190"/>
      <c r="E2" s="190"/>
      <c r="F2" s="190"/>
      <c r="G2" s="190"/>
      <c r="H2" s="190"/>
      <c r="I2" s="190"/>
      <c r="J2" s="190"/>
      <c r="K2" s="191"/>
      <c r="L2" s="17" t="s">
        <v>105</v>
      </c>
      <c r="M2" s="33"/>
    </row>
    <row r="3" spans="1:13" ht="14.25" customHeight="1">
      <c r="A3" s="195" t="s">
        <v>324</v>
      </c>
      <c r="B3" s="196"/>
      <c r="C3" s="196"/>
      <c r="D3" s="196"/>
      <c r="E3" s="196"/>
      <c r="F3" s="197"/>
      <c r="G3" s="81" t="s">
        <v>267</v>
      </c>
      <c r="H3" s="192">
        <v>45357</v>
      </c>
      <c r="I3" s="193"/>
      <c r="J3" s="193"/>
      <c r="K3" s="194"/>
      <c r="L3" s="20" t="s">
        <v>106</v>
      </c>
      <c r="M3" s="34"/>
    </row>
    <row r="4" spans="1:13" s="23" customFormat="1" ht="15" customHeight="1">
      <c r="A4" s="198"/>
      <c r="B4" s="199"/>
      <c r="C4" s="199"/>
      <c r="D4" s="199"/>
      <c r="E4" s="199"/>
      <c r="F4" s="200"/>
      <c r="G4" s="81" t="s">
        <v>268</v>
      </c>
      <c r="H4" s="192">
        <v>45453</v>
      </c>
      <c r="I4" s="193"/>
      <c r="J4" s="193"/>
      <c r="K4" s="194"/>
      <c r="L4" s="30" t="s">
        <v>107</v>
      </c>
      <c r="M4" s="22">
        <v>45357</v>
      </c>
    </row>
    <row r="5" spans="1:13" s="23" customFormat="1" ht="37.5" customHeight="1">
      <c r="A5" s="15" t="s">
        <v>273</v>
      </c>
      <c r="B5" s="24" t="s">
        <v>4</v>
      </c>
      <c r="C5" s="24" t="s">
        <v>5</v>
      </c>
      <c r="D5" s="24" t="s">
        <v>110</v>
      </c>
      <c r="E5" s="24" t="s">
        <v>6</v>
      </c>
      <c r="F5" s="24" t="s">
        <v>9</v>
      </c>
      <c r="G5" s="24" t="s">
        <v>7</v>
      </c>
      <c r="H5" s="24" t="s">
        <v>14</v>
      </c>
      <c r="I5" s="24" t="s">
        <v>270</v>
      </c>
      <c r="J5" s="24" t="s">
        <v>271</v>
      </c>
      <c r="K5" s="24" t="s">
        <v>272</v>
      </c>
      <c r="L5" s="24" t="s">
        <v>121</v>
      </c>
      <c r="M5" s="24" t="s">
        <v>15</v>
      </c>
    </row>
    <row r="6" spans="1:13" s="23" customFormat="1" ht="20.25" hidden="1" customHeight="1">
      <c r="A6" s="25">
        <v>1</v>
      </c>
      <c r="B6" s="45" t="s">
        <v>325</v>
      </c>
      <c r="C6" s="68" t="s">
        <v>326</v>
      </c>
      <c r="D6" s="57" t="s">
        <v>214</v>
      </c>
      <c r="E6" s="50" t="s">
        <v>166</v>
      </c>
      <c r="F6" s="69" t="s">
        <v>327</v>
      </c>
      <c r="G6" s="89">
        <v>5000</v>
      </c>
      <c r="H6" s="67">
        <f>G6*0.024</f>
        <v>120</v>
      </c>
      <c r="I6" s="84"/>
      <c r="J6" s="80"/>
      <c r="K6" s="80"/>
      <c r="L6" s="16"/>
      <c r="M6" s="44"/>
    </row>
    <row r="7" spans="1:13" s="23" customFormat="1" ht="20.25" customHeight="1">
      <c r="A7" s="25">
        <v>2</v>
      </c>
      <c r="B7" s="45" t="s">
        <v>328</v>
      </c>
      <c r="C7" s="68" t="s">
        <v>326</v>
      </c>
      <c r="D7" s="57" t="s">
        <v>210</v>
      </c>
      <c r="E7" s="50" t="s">
        <v>166</v>
      </c>
      <c r="F7" s="69" t="s">
        <v>327</v>
      </c>
      <c r="G7" s="88">
        <v>8000</v>
      </c>
      <c r="H7" s="67">
        <f>G7*0.0227</f>
        <v>181.60000000000002</v>
      </c>
      <c r="I7" s="84"/>
      <c r="J7" s="83"/>
      <c r="K7" s="16"/>
      <c r="L7" s="16"/>
      <c r="M7" s="44"/>
    </row>
    <row r="8" spans="1:13" s="23" customFormat="1" ht="20.25" customHeight="1">
      <c r="A8" s="25">
        <v>3</v>
      </c>
      <c r="B8" s="45" t="s">
        <v>329</v>
      </c>
      <c r="C8" s="68" t="s">
        <v>332</v>
      </c>
      <c r="D8" s="57" t="s">
        <v>210</v>
      </c>
      <c r="E8" s="50" t="s">
        <v>166</v>
      </c>
      <c r="F8" s="69" t="s">
        <v>327</v>
      </c>
      <c r="G8" s="88">
        <v>5000</v>
      </c>
      <c r="H8" s="67">
        <f>G8*0.024</f>
        <v>120</v>
      </c>
      <c r="I8" s="84"/>
      <c r="J8" s="83"/>
      <c r="K8" s="16"/>
      <c r="L8" s="16"/>
      <c r="M8" s="44"/>
    </row>
    <row r="9" spans="1:13" s="23" customFormat="1" ht="20.25" customHeight="1">
      <c r="A9" s="25">
        <v>4</v>
      </c>
      <c r="B9" s="45" t="s">
        <v>291</v>
      </c>
      <c r="C9" s="68" t="s">
        <v>292</v>
      </c>
      <c r="D9" s="57" t="s">
        <v>210</v>
      </c>
      <c r="E9" s="50" t="s">
        <v>166</v>
      </c>
      <c r="F9" s="69" t="s">
        <v>327</v>
      </c>
      <c r="G9" s="88">
        <v>25000</v>
      </c>
      <c r="H9" s="57">
        <f>G9*0.03</f>
        <v>750</v>
      </c>
      <c r="I9" s="84"/>
      <c r="J9" s="83"/>
      <c r="K9" s="25"/>
      <c r="L9" s="25"/>
      <c r="M9" s="44"/>
    </row>
    <row r="10" spans="1:13" s="23" customFormat="1" ht="20.25" customHeight="1">
      <c r="A10" s="25">
        <v>5</v>
      </c>
      <c r="B10" s="45" t="s">
        <v>289</v>
      </c>
      <c r="C10" s="68" t="s">
        <v>290</v>
      </c>
      <c r="D10" s="57" t="s">
        <v>210</v>
      </c>
      <c r="E10" s="50" t="s">
        <v>166</v>
      </c>
      <c r="F10" s="69" t="s">
        <v>327</v>
      </c>
      <c r="G10" s="16">
        <v>2500</v>
      </c>
      <c r="H10" s="57">
        <f>G10*0.035</f>
        <v>87.500000000000014</v>
      </c>
      <c r="I10" s="57"/>
      <c r="J10" s="57"/>
      <c r="K10" s="25"/>
      <c r="L10" s="25"/>
      <c r="M10" s="25"/>
    </row>
    <row r="11" spans="1:13" s="23" customFormat="1" ht="20.25" customHeight="1">
      <c r="A11" s="25">
        <v>6</v>
      </c>
      <c r="B11" s="45" t="s">
        <v>287</v>
      </c>
      <c r="C11" s="68" t="s">
        <v>288</v>
      </c>
      <c r="D11" s="57" t="s">
        <v>210</v>
      </c>
      <c r="E11" s="50" t="s">
        <v>166</v>
      </c>
      <c r="F11" s="69" t="s">
        <v>327</v>
      </c>
      <c r="G11" s="16">
        <v>4500</v>
      </c>
      <c r="H11" s="57">
        <f>G11*0.038</f>
        <v>171</v>
      </c>
      <c r="I11" s="57"/>
      <c r="J11" s="57"/>
      <c r="K11" s="25"/>
      <c r="L11" s="25"/>
      <c r="M11" s="25"/>
    </row>
    <row r="12" spans="1:13" s="23" customFormat="1" ht="20.25" customHeight="1">
      <c r="A12" s="25">
        <v>7</v>
      </c>
      <c r="B12" s="45" t="s">
        <v>285</v>
      </c>
      <c r="C12" s="68" t="s">
        <v>286</v>
      </c>
      <c r="D12" s="57" t="s">
        <v>210</v>
      </c>
      <c r="E12" s="50" t="s">
        <v>166</v>
      </c>
      <c r="F12" s="69" t="s">
        <v>327</v>
      </c>
      <c r="G12" s="16">
        <v>25000</v>
      </c>
      <c r="H12" s="57">
        <f>G12*0.0398</f>
        <v>995</v>
      </c>
      <c r="I12" s="57"/>
      <c r="J12" s="57"/>
      <c r="K12" s="25"/>
      <c r="L12" s="25"/>
      <c r="M12" s="25"/>
    </row>
    <row r="13" spans="1:13" s="23" customFormat="1" ht="20.25" customHeight="1">
      <c r="A13" s="25">
        <v>8</v>
      </c>
      <c r="B13" s="45" t="s">
        <v>330</v>
      </c>
      <c r="C13" s="68" t="s">
        <v>333</v>
      </c>
      <c r="D13" s="57" t="s">
        <v>210</v>
      </c>
      <c r="E13" s="50" t="s">
        <v>166</v>
      </c>
      <c r="F13" s="69" t="s">
        <v>327</v>
      </c>
      <c r="G13" s="16">
        <v>12000</v>
      </c>
      <c r="H13" s="57">
        <f>G13*0.044</f>
        <v>528</v>
      </c>
      <c r="I13" s="57"/>
      <c r="J13" s="57"/>
      <c r="K13" s="25"/>
      <c r="L13" s="25"/>
      <c r="M13" s="25"/>
    </row>
    <row r="14" spans="1:13" s="23" customFormat="1" ht="20.25" customHeight="1">
      <c r="A14" s="25">
        <v>9</v>
      </c>
      <c r="B14" s="45" t="s">
        <v>331</v>
      </c>
      <c r="C14" s="68" t="s">
        <v>334</v>
      </c>
      <c r="D14" s="57" t="s">
        <v>210</v>
      </c>
      <c r="E14" s="50" t="s">
        <v>166</v>
      </c>
      <c r="F14" s="69" t="s">
        <v>327</v>
      </c>
      <c r="G14" s="16">
        <v>500</v>
      </c>
      <c r="H14" s="57">
        <f>G14*0.049</f>
        <v>24.5</v>
      </c>
      <c r="I14" s="57"/>
      <c r="J14" s="57"/>
      <c r="K14" s="25"/>
      <c r="L14" s="25"/>
      <c r="M14" s="25"/>
    </row>
    <row r="15" spans="1:13" s="23" customFormat="1" ht="20.25" hidden="1" customHeight="1">
      <c r="A15" s="25">
        <v>10</v>
      </c>
      <c r="B15" s="45" t="s">
        <v>335</v>
      </c>
      <c r="C15" s="16" t="s">
        <v>336</v>
      </c>
      <c r="D15" s="16" t="s">
        <v>214</v>
      </c>
      <c r="E15" s="50" t="s">
        <v>166</v>
      </c>
      <c r="F15" s="69" t="s">
        <v>327</v>
      </c>
      <c r="G15" s="16">
        <v>5000</v>
      </c>
      <c r="H15" s="57">
        <f>G15*0.024</f>
        <v>120</v>
      </c>
      <c r="I15" s="57"/>
      <c r="J15" s="57"/>
      <c r="K15" s="25"/>
      <c r="L15" s="25"/>
      <c r="M15" s="25"/>
    </row>
    <row r="16" spans="1:13" s="23" customFormat="1" ht="20.25" hidden="1" customHeight="1">
      <c r="A16" s="25">
        <v>11</v>
      </c>
      <c r="B16" s="45" t="s">
        <v>338</v>
      </c>
      <c r="C16" s="68" t="s">
        <v>339</v>
      </c>
      <c r="D16" s="57" t="s">
        <v>214</v>
      </c>
      <c r="E16" s="50" t="s">
        <v>166</v>
      </c>
      <c r="F16" s="69" t="s">
        <v>327</v>
      </c>
      <c r="G16" s="88">
        <v>10000</v>
      </c>
      <c r="H16" s="57">
        <f>G16*0.028</f>
        <v>280</v>
      </c>
      <c r="I16" s="57"/>
      <c r="J16" s="57"/>
      <c r="K16" s="25"/>
      <c r="L16" s="25"/>
      <c r="M16" s="25"/>
    </row>
    <row r="17" spans="1:13" s="23" customFormat="1" ht="20.25" hidden="1" customHeight="1">
      <c r="A17" s="25">
        <v>12</v>
      </c>
      <c r="B17" s="45" t="s">
        <v>340</v>
      </c>
      <c r="C17" s="45" t="s">
        <v>341</v>
      </c>
      <c r="D17" s="16" t="s">
        <v>214</v>
      </c>
      <c r="E17" s="50" t="s">
        <v>166</v>
      </c>
      <c r="F17" s="69" t="s">
        <v>327</v>
      </c>
      <c r="G17" s="16">
        <v>6000</v>
      </c>
      <c r="H17" s="57">
        <f>G17*0.032</f>
        <v>192</v>
      </c>
      <c r="I17" s="57"/>
      <c r="J17" s="57"/>
      <c r="K17" s="25"/>
      <c r="L17" s="25"/>
      <c r="M17" s="25"/>
    </row>
    <row r="18" spans="1:13" s="23" customFormat="1" ht="20.25" hidden="1" customHeight="1">
      <c r="A18" s="25">
        <v>13</v>
      </c>
      <c r="B18" s="45" t="s">
        <v>342</v>
      </c>
      <c r="C18" s="45" t="s">
        <v>343</v>
      </c>
      <c r="D18" s="16" t="s">
        <v>214</v>
      </c>
      <c r="E18" s="50" t="s">
        <v>166</v>
      </c>
      <c r="F18" s="69" t="s">
        <v>327</v>
      </c>
      <c r="G18" s="16">
        <v>20000</v>
      </c>
      <c r="H18" s="57">
        <f>G18*0.032</f>
        <v>640</v>
      </c>
      <c r="I18" s="57"/>
      <c r="J18" s="57"/>
      <c r="K18" s="25"/>
      <c r="L18" s="25"/>
      <c r="M18" s="25"/>
    </row>
    <row r="19" spans="1:13" s="23" customFormat="1" ht="20.25" hidden="1" customHeight="1">
      <c r="A19" s="25">
        <v>14</v>
      </c>
      <c r="B19" s="45" t="s">
        <v>344</v>
      </c>
      <c r="C19" s="45" t="s">
        <v>351</v>
      </c>
      <c r="D19" s="16" t="s">
        <v>214</v>
      </c>
      <c r="E19" s="50" t="s">
        <v>166</v>
      </c>
      <c r="F19" s="69" t="s">
        <v>327</v>
      </c>
      <c r="G19" s="16">
        <v>6000</v>
      </c>
      <c r="H19" s="57">
        <f>G19*0.035</f>
        <v>210.00000000000003</v>
      </c>
      <c r="I19" s="57"/>
      <c r="J19" s="57"/>
      <c r="K19" s="25"/>
      <c r="L19" s="25"/>
      <c r="M19" s="25"/>
    </row>
    <row r="20" spans="1:13" s="23" customFormat="1" ht="20.25" hidden="1" customHeight="1">
      <c r="A20" s="25">
        <v>15</v>
      </c>
      <c r="B20" s="45" t="s">
        <v>345</v>
      </c>
      <c r="C20" s="45" t="s">
        <v>350</v>
      </c>
      <c r="D20" s="16" t="s">
        <v>214</v>
      </c>
      <c r="E20" s="50" t="s">
        <v>166</v>
      </c>
      <c r="F20" s="69" t="s">
        <v>327</v>
      </c>
      <c r="G20" s="16">
        <v>10000</v>
      </c>
      <c r="H20" s="57">
        <f>G20*0.042</f>
        <v>420</v>
      </c>
      <c r="I20" s="57"/>
      <c r="J20" s="57"/>
      <c r="K20" s="25"/>
      <c r="L20" s="25"/>
      <c r="M20" s="25"/>
    </row>
    <row r="21" spans="1:13" s="23" customFormat="1" ht="20.25" hidden="1" customHeight="1">
      <c r="A21" s="25">
        <v>16</v>
      </c>
      <c r="B21" s="45" t="s">
        <v>346</v>
      </c>
      <c r="C21" s="45" t="s">
        <v>349</v>
      </c>
      <c r="D21" s="16" t="s">
        <v>214</v>
      </c>
      <c r="E21" s="50" t="s">
        <v>166</v>
      </c>
      <c r="F21" s="69" t="s">
        <v>327</v>
      </c>
      <c r="G21" s="16">
        <v>10000</v>
      </c>
      <c r="H21" s="57">
        <f>G21*0.05</f>
        <v>500</v>
      </c>
      <c r="I21" s="57"/>
      <c r="J21" s="57"/>
      <c r="K21" s="25"/>
      <c r="L21" s="25"/>
      <c r="M21" s="25"/>
    </row>
    <row r="22" spans="1:13" s="23" customFormat="1" ht="20.25" hidden="1" customHeight="1">
      <c r="A22" s="25">
        <v>17</v>
      </c>
      <c r="B22" s="45" t="s">
        <v>347</v>
      </c>
      <c r="C22" s="45" t="s">
        <v>348</v>
      </c>
      <c r="D22" s="16" t="s">
        <v>214</v>
      </c>
      <c r="E22" s="50" t="s">
        <v>166</v>
      </c>
      <c r="F22" s="69" t="s">
        <v>327</v>
      </c>
      <c r="G22" s="16">
        <v>3000</v>
      </c>
      <c r="H22" s="57">
        <f>G22*0.053</f>
        <v>159</v>
      </c>
      <c r="I22" s="57"/>
      <c r="J22" s="57"/>
      <c r="K22" s="25"/>
      <c r="L22" s="25"/>
      <c r="M22" s="25"/>
    </row>
    <row r="23" spans="1:13" s="23" customFormat="1" ht="20.25" customHeight="1">
      <c r="A23" s="25">
        <v>18</v>
      </c>
      <c r="B23" s="45" t="s">
        <v>352</v>
      </c>
      <c r="C23" s="45" t="s">
        <v>354</v>
      </c>
      <c r="D23" s="16" t="s">
        <v>210</v>
      </c>
      <c r="E23" s="50" t="s">
        <v>166</v>
      </c>
      <c r="F23" s="69" t="s">
        <v>327</v>
      </c>
      <c r="G23" s="16">
        <v>2400</v>
      </c>
      <c r="H23" s="57">
        <f>G23*0.05</f>
        <v>120</v>
      </c>
      <c r="I23" s="57"/>
      <c r="J23" s="57"/>
      <c r="K23" s="25"/>
      <c r="L23" s="25"/>
      <c r="M23" s="25"/>
    </row>
    <row r="24" spans="1:13" s="23" customFormat="1" ht="20.25" customHeight="1">
      <c r="A24" s="25">
        <v>19</v>
      </c>
      <c r="B24" s="45" t="s">
        <v>353</v>
      </c>
      <c r="C24" s="45" t="s">
        <v>355</v>
      </c>
      <c r="D24" s="16" t="s">
        <v>210</v>
      </c>
      <c r="E24" s="50" t="s">
        <v>166</v>
      </c>
      <c r="F24" s="69" t="s">
        <v>327</v>
      </c>
      <c r="G24" s="16">
        <v>2400</v>
      </c>
      <c r="H24" s="57">
        <f>G23*0.053</f>
        <v>127.2</v>
      </c>
      <c r="I24" s="57"/>
      <c r="J24" s="57"/>
      <c r="K24" s="25"/>
      <c r="L24" s="25"/>
      <c r="M24" s="25"/>
    </row>
    <row r="25" spans="1:13" s="23" customFormat="1" ht="20.25" customHeight="1">
      <c r="A25" s="25">
        <v>20</v>
      </c>
      <c r="B25" s="45" t="s">
        <v>293</v>
      </c>
      <c r="C25" s="45" t="s">
        <v>295</v>
      </c>
      <c r="D25" s="16" t="s">
        <v>210</v>
      </c>
      <c r="E25" s="50" t="s">
        <v>166</v>
      </c>
      <c r="F25" s="69" t="s">
        <v>327</v>
      </c>
      <c r="G25" s="16">
        <v>4000</v>
      </c>
      <c r="H25" s="57">
        <f>G25*0.025</f>
        <v>100</v>
      </c>
      <c r="I25" s="57"/>
      <c r="J25" s="57"/>
      <c r="K25" s="25"/>
      <c r="L25" s="25"/>
      <c r="M25" s="25"/>
    </row>
    <row r="26" spans="1:13" s="23" customFormat="1" ht="20.25" customHeight="1">
      <c r="A26" s="25">
        <v>21</v>
      </c>
      <c r="B26" s="45" t="s">
        <v>294</v>
      </c>
      <c r="C26" s="45" t="s">
        <v>296</v>
      </c>
      <c r="D26" s="16" t="s">
        <v>210</v>
      </c>
      <c r="E26" s="50" t="s">
        <v>166</v>
      </c>
      <c r="F26" s="69" t="s">
        <v>327</v>
      </c>
      <c r="G26" s="16">
        <v>6000</v>
      </c>
      <c r="H26" s="57">
        <f>G26*0.027</f>
        <v>162</v>
      </c>
      <c r="I26" s="57"/>
      <c r="J26" s="57"/>
      <c r="K26" s="25"/>
      <c r="L26" s="25"/>
      <c r="M26" s="25"/>
    </row>
    <row r="27" spans="1:13" s="23" customFormat="1" ht="20.25" customHeight="1">
      <c r="A27" s="25">
        <v>22</v>
      </c>
      <c r="B27" s="45" t="s">
        <v>356</v>
      </c>
      <c r="C27" s="45" t="s">
        <v>360</v>
      </c>
      <c r="D27" s="16" t="s">
        <v>210</v>
      </c>
      <c r="E27" s="50" t="s">
        <v>166</v>
      </c>
      <c r="F27" s="69" t="s">
        <v>327</v>
      </c>
      <c r="G27" s="16">
        <v>7000</v>
      </c>
      <c r="H27" s="57">
        <f>G27*0.032</f>
        <v>224</v>
      </c>
      <c r="I27" s="57"/>
      <c r="J27" s="57"/>
      <c r="K27" s="25"/>
      <c r="L27" s="25"/>
      <c r="M27" s="25"/>
    </row>
    <row r="28" spans="1:13" s="23" customFormat="1" ht="20.25" hidden="1" customHeight="1">
      <c r="A28" s="25">
        <v>23</v>
      </c>
      <c r="B28" s="45" t="s">
        <v>357</v>
      </c>
      <c r="C28" s="45" t="s">
        <v>296</v>
      </c>
      <c r="D28" s="16" t="s">
        <v>250</v>
      </c>
      <c r="E28" s="50" t="s">
        <v>166</v>
      </c>
      <c r="F28" s="69" t="s">
        <v>361</v>
      </c>
      <c r="G28" s="16">
        <v>5000</v>
      </c>
      <c r="H28" s="57">
        <f>G28*0.027</f>
        <v>135</v>
      </c>
      <c r="I28" s="57"/>
      <c r="J28" s="57"/>
      <c r="K28" s="25"/>
      <c r="L28" s="25"/>
      <c r="M28" s="25"/>
    </row>
    <row r="29" spans="1:13" s="23" customFormat="1" ht="20.25" hidden="1" customHeight="1">
      <c r="A29" s="25">
        <v>24</v>
      </c>
      <c r="B29" s="45" t="s">
        <v>358</v>
      </c>
      <c r="C29" s="45" t="s">
        <v>359</v>
      </c>
      <c r="D29" s="16" t="s">
        <v>214</v>
      </c>
      <c r="E29" s="50" t="s">
        <v>166</v>
      </c>
      <c r="F29" s="69" t="s">
        <v>327</v>
      </c>
      <c r="G29" s="16">
        <v>5000</v>
      </c>
      <c r="H29" s="57">
        <f>G29*0.025</f>
        <v>125</v>
      </c>
      <c r="I29" s="57"/>
      <c r="J29" s="57"/>
      <c r="K29" s="25"/>
      <c r="L29" s="25"/>
      <c r="M29" s="25"/>
    </row>
    <row r="30" spans="1:13" s="23" customFormat="1" ht="20.25" hidden="1" customHeight="1">
      <c r="A30" s="25"/>
      <c r="B30" s="45"/>
      <c r="C30" s="45"/>
      <c r="D30" s="16"/>
      <c r="E30" s="50"/>
      <c r="F30" s="69"/>
      <c r="G30" s="16"/>
      <c r="H30" s="57"/>
      <c r="I30" s="57"/>
      <c r="J30" s="57"/>
      <c r="K30" s="25"/>
      <c r="L30" s="25"/>
      <c r="M30" s="25"/>
    </row>
    <row r="31" spans="1:13" s="23" customFormat="1" ht="20.25" hidden="1" customHeight="1">
      <c r="A31" s="25"/>
      <c r="B31" s="45"/>
      <c r="C31" s="45"/>
      <c r="D31" s="16"/>
      <c r="E31" s="50"/>
      <c r="F31" s="69"/>
      <c r="G31" s="16"/>
      <c r="H31" s="57"/>
      <c r="I31" s="57"/>
      <c r="J31" s="57"/>
      <c r="K31" s="25"/>
      <c r="L31" s="25"/>
      <c r="M31" s="25"/>
    </row>
    <row r="32" spans="1:13" s="23" customFormat="1" ht="20.25" hidden="1" customHeight="1">
      <c r="A32" s="25"/>
      <c r="B32" s="45"/>
      <c r="C32" s="45"/>
      <c r="D32" s="16"/>
      <c r="E32" s="50"/>
      <c r="F32" s="69"/>
      <c r="G32" s="16"/>
      <c r="H32" s="57"/>
      <c r="I32" s="57"/>
      <c r="J32" s="57"/>
      <c r="K32" s="25"/>
      <c r="L32" s="25"/>
      <c r="M32" s="25"/>
    </row>
    <row r="33" spans="1:13" s="23" customFormat="1" ht="20.25" hidden="1" customHeight="1">
      <c r="A33" s="25"/>
      <c r="B33" s="45"/>
      <c r="C33" s="16"/>
      <c r="D33" s="16"/>
      <c r="E33" s="50"/>
      <c r="F33" s="69"/>
      <c r="G33" s="16"/>
      <c r="H33" s="57"/>
      <c r="I33" s="57"/>
      <c r="J33" s="57"/>
      <c r="K33" s="25"/>
      <c r="L33" s="25"/>
      <c r="M33" s="25"/>
    </row>
    <row r="34" spans="1:13" s="23" customFormat="1" ht="20.25" hidden="1" customHeight="1">
      <c r="A34" s="25"/>
      <c r="B34" s="45"/>
      <c r="C34" s="45"/>
      <c r="D34" s="16"/>
      <c r="E34" s="50"/>
      <c r="F34" s="69"/>
      <c r="G34" s="16"/>
      <c r="H34" s="57"/>
      <c r="I34" s="57"/>
      <c r="J34" s="57"/>
      <c r="K34" s="25"/>
      <c r="L34" s="25"/>
      <c r="M34" s="25"/>
    </row>
    <row r="35" spans="1:13" s="23" customFormat="1" ht="20.25" hidden="1" customHeight="1">
      <c r="A35" s="25"/>
      <c r="B35" s="45"/>
      <c r="C35" s="45"/>
      <c r="D35" s="16"/>
      <c r="E35" s="50"/>
      <c r="F35" s="69"/>
      <c r="G35" s="16"/>
      <c r="H35" s="57"/>
      <c r="I35" s="57"/>
      <c r="J35" s="57"/>
      <c r="K35" s="25"/>
      <c r="L35" s="25"/>
      <c r="M35" s="25"/>
    </row>
    <row r="36" spans="1:13" s="23" customFormat="1" ht="20.25" hidden="1" customHeight="1">
      <c r="A36" s="25"/>
      <c r="B36" s="45"/>
      <c r="C36" s="57"/>
      <c r="D36" s="16"/>
      <c r="E36" s="50"/>
      <c r="F36" s="69"/>
      <c r="G36" s="16"/>
      <c r="H36" s="57"/>
      <c r="I36" s="57"/>
      <c r="J36" s="57"/>
      <c r="K36" s="25"/>
      <c r="L36" s="25"/>
      <c r="M36" s="25"/>
    </row>
    <row r="37" spans="1:13" s="23" customFormat="1" ht="20.25" hidden="1" customHeight="1">
      <c r="A37" s="25"/>
      <c r="B37" s="45"/>
      <c r="C37" s="57"/>
      <c r="D37" s="57"/>
      <c r="E37" s="50"/>
      <c r="F37" s="66"/>
      <c r="G37" s="16"/>
      <c r="H37" s="57"/>
      <c r="I37" s="57"/>
      <c r="J37" s="57"/>
      <c r="K37" s="25"/>
      <c r="L37" s="25"/>
      <c r="M37" s="25"/>
    </row>
    <row r="38" spans="1:13" s="23" customFormat="1" ht="20.25" customHeight="1">
      <c r="A38" s="204" t="s">
        <v>279</v>
      </c>
      <c r="B38" s="205"/>
      <c r="C38" s="205"/>
      <c r="D38" s="205"/>
      <c r="E38" s="205"/>
      <c r="F38" s="206"/>
      <c r="G38" s="60">
        <f>SUM(G6:G37)</f>
        <v>189300</v>
      </c>
      <c r="H38" s="61">
        <f>SUBTOTAL(9,H6:H37)</f>
        <v>3590.7999999999997</v>
      </c>
      <c r="I38" s="61"/>
      <c r="J38" s="61"/>
      <c r="K38" s="16"/>
      <c r="L38" s="16"/>
      <c r="M38" s="25"/>
    </row>
    <row r="39" spans="1:13" s="23" customFormat="1" ht="36.75" customHeight="1">
      <c r="A39" s="25"/>
      <c r="B39" s="55" t="s">
        <v>201</v>
      </c>
      <c r="C39" s="32" t="s">
        <v>203</v>
      </c>
      <c r="D39" s="48" t="s">
        <v>206</v>
      </c>
      <c r="E39" s="48" t="s">
        <v>207</v>
      </c>
      <c r="F39" s="48" t="s">
        <v>204</v>
      </c>
      <c r="G39" s="82"/>
      <c r="H39" s="51"/>
      <c r="I39" s="51"/>
      <c r="J39" s="51"/>
      <c r="K39" s="25"/>
      <c r="L39" s="25"/>
      <c r="M39" s="25"/>
    </row>
    <row r="40" spans="1:13" s="23" customFormat="1" ht="20.25" customHeight="1">
      <c r="A40" s="25"/>
      <c r="B40" s="53" t="s">
        <v>208</v>
      </c>
      <c r="C40" s="25">
        <f>9*60*0.75*100</f>
        <v>40500</v>
      </c>
      <c r="D40" s="39">
        <f>9*26*100*60*0.75</f>
        <v>1053000</v>
      </c>
      <c r="E40" s="24">
        <f>G38</f>
        <v>189300</v>
      </c>
      <c r="F40" s="56">
        <f>E40/C40</f>
        <v>4.674074074074074</v>
      </c>
      <c r="G40" s="82"/>
      <c r="H40" s="51"/>
      <c r="I40" s="51"/>
      <c r="J40" s="51"/>
      <c r="K40" s="25"/>
      <c r="L40" s="16"/>
      <c r="M40" s="16"/>
    </row>
    <row r="41" spans="1:13" s="23" customFormat="1" ht="20.25" customHeight="1">
      <c r="A41" s="25"/>
      <c r="B41" s="42"/>
      <c r="C41" s="16"/>
      <c r="D41" s="38"/>
      <c r="E41" s="50"/>
      <c r="F41" s="16"/>
      <c r="G41" s="16"/>
      <c r="H41" s="16"/>
      <c r="I41" s="16"/>
      <c r="J41" s="16"/>
      <c r="K41" s="16"/>
      <c r="L41" s="16"/>
      <c r="M41" s="16"/>
    </row>
    <row r="42" spans="1:13" ht="39" customHeight="1">
      <c r="A42" s="201" t="s">
        <v>278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3"/>
    </row>
    <row r="43" spans="1:13" ht="26.25" customHeight="1">
      <c r="A43" s="32" t="s">
        <v>116</v>
      </c>
      <c r="B43" s="184" t="s">
        <v>280</v>
      </c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5"/>
    </row>
  </sheetData>
  <autoFilter ref="A5:M29" xr:uid="{00000000-0009-0000-0000-000001000000}">
    <filterColumn colId="3">
      <filters>
        <filter val="PPL-8.8"/>
      </filters>
    </filterColumn>
  </autoFilter>
  <mergeCells count="7">
    <mergeCell ref="B43:M43"/>
    <mergeCell ref="A1:K2"/>
    <mergeCell ref="A3:F4"/>
    <mergeCell ref="H3:K3"/>
    <mergeCell ref="H4:K4"/>
    <mergeCell ref="A38:F38"/>
    <mergeCell ref="A42:M42"/>
  </mergeCells>
  <printOptions horizontalCentered="1" verticalCentered="1"/>
  <pageMargins left="0.26" right="0.15" top="0.25" bottom="0.37" header="0.17" footer="0.16"/>
  <pageSetup paperSize="9" scale="6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M51"/>
  <sheetViews>
    <sheetView zoomScaleSheetLayoutView="100" workbookViewId="0">
      <selection activeCell="A22" sqref="A22:XFD45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5.33203125" style="36" customWidth="1"/>
    <col min="5" max="5" width="17" style="19" customWidth="1"/>
    <col min="6" max="6" width="22" style="19" bestFit="1" customWidth="1"/>
    <col min="7" max="7" width="17" style="19" customWidth="1"/>
    <col min="8" max="8" width="15.6640625" style="19" bestFit="1" customWidth="1"/>
    <col min="9" max="10" width="15.6640625" style="19" customWidth="1"/>
    <col min="11" max="11" width="11.6640625" style="19" customWidth="1"/>
    <col min="12" max="12" width="15.109375" style="19" bestFit="1" customWidth="1"/>
    <col min="13" max="13" width="27.6640625" style="19" customWidth="1"/>
    <col min="14" max="14" width="9.109375" style="19"/>
    <col min="15" max="15" width="11.5546875" style="19" bestFit="1" customWidth="1"/>
    <col min="16" max="16" width="11.6640625" style="19" bestFit="1" customWidth="1"/>
    <col min="17" max="16384" width="9.109375" style="19"/>
  </cols>
  <sheetData>
    <row r="1" spans="1:13" ht="14.25" customHeight="1">
      <c r="A1" s="186" t="s">
        <v>274</v>
      </c>
      <c r="B1" s="187"/>
      <c r="C1" s="187"/>
      <c r="D1" s="187"/>
      <c r="E1" s="187"/>
      <c r="F1" s="187"/>
      <c r="G1" s="187"/>
      <c r="H1" s="187"/>
      <c r="I1" s="187"/>
      <c r="J1" s="187"/>
      <c r="K1" s="188"/>
      <c r="L1" s="17" t="s">
        <v>104</v>
      </c>
      <c r="M1" s="33"/>
    </row>
    <row r="2" spans="1:13" ht="18" customHeight="1">
      <c r="A2" s="189"/>
      <c r="B2" s="190"/>
      <c r="C2" s="190"/>
      <c r="D2" s="190"/>
      <c r="E2" s="190"/>
      <c r="F2" s="190"/>
      <c r="G2" s="190"/>
      <c r="H2" s="190"/>
      <c r="I2" s="190"/>
      <c r="J2" s="190"/>
      <c r="K2" s="191"/>
      <c r="L2" s="17" t="s">
        <v>105</v>
      </c>
      <c r="M2" s="33"/>
    </row>
    <row r="3" spans="1:13" ht="14.25" customHeight="1">
      <c r="A3" s="195" t="s">
        <v>269</v>
      </c>
      <c r="B3" s="196"/>
      <c r="C3" s="196"/>
      <c r="D3" s="196"/>
      <c r="E3" s="196"/>
      <c r="F3" s="197"/>
      <c r="G3" s="81" t="s">
        <v>267</v>
      </c>
      <c r="H3" s="192">
        <v>45357</v>
      </c>
      <c r="I3" s="193"/>
      <c r="J3" s="193"/>
      <c r="K3" s="194"/>
      <c r="L3" s="20" t="s">
        <v>106</v>
      </c>
      <c r="M3" s="34"/>
    </row>
    <row r="4" spans="1:13" s="23" customFormat="1" ht="15" customHeight="1">
      <c r="A4" s="198"/>
      <c r="B4" s="199"/>
      <c r="C4" s="199"/>
      <c r="D4" s="199"/>
      <c r="E4" s="199"/>
      <c r="F4" s="200"/>
      <c r="G4" s="81" t="s">
        <v>268</v>
      </c>
      <c r="H4" s="192">
        <v>45361</v>
      </c>
      <c r="I4" s="193"/>
      <c r="J4" s="193"/>
      <c r="K4" s="194"/>
      <c r="L4" s="30" t="s">
        <v>107</v>
      </c>
      <c r="M4" s="22">
        <v>44931</v>
      </c>
    </row>
    <row r="5" spans="1:13" s="23" customFormat="1" ht="37.5" customHeight="1">
      <c r="A5" s="15" t="s">
        <v>273</v>
      </c>
      <c r="B5" s="24" t="s">
        <v>4</v>
      </c>
      <c r="C5" s="24" t="s">
        <v>5</v>
      </c>
      <c r="D5" s="24" t="s">
        <v>110</v>
      </c>
      <c r="E5" s="24" t="s">
        <v>6</v>
      </c>
      <c r="F5" s="24" t="s">
        <v>9</v>
      </c>
      <c r="G5" s="24" t="s">
        <v>7</v>
      </c>
      <c r="H5" s="24" t="s">
        <v>14</v>
      </c>
      <c r="I5" s="24" t="s">
        <v>270</v>
      </c>
      <c r="J5" s="24" t="s">
        <v>271</v>
      </c>
      <c r="K5" s="24" t="s">
        <v>272</v>
      </c>
      <c r="L5" s="24" t="s">
        <v>121</v>
      </c>
      <c r="M5" s="24" t="s">
        <v>15</v>
      </c>
    </row>
    <row r="6" spans="1:13" s="23" customFormat="1" ht="20.25" customHeight="1">
      <c r="A6" s="25">
        <v>1</v>
      </c>
      <c r="B6" s="26" t="s">
        <v>297</v>
      </c>
      <c r="C6" s="85" t="s">
        <v>298</v>
      </c>
      <c r="D6" s="57" t="s">
        <v>210</v>
      </c>
      <c r="E6" s="47" t="s">
        <v>266</v>
      </c>
      <c r="F6" s="16" t="s">
        <v>184</v>
      </c>
      <c r="G6" s="57">
        <v>11000</v>
      </c>
      <c r="H6" s="67">
        <f>G6*0.1278</f>
        <v>1405.8</v>
      </c>
      <c r="I6" s="90">
        <v>45357</v>
      </c>
      <c r="J6" s="80">
        <v>45357</v>
      </c>
      <c r="K6" s="80"/>
      <c r="L6" s="16"/>
      <c r="M6" s="44"/>
    </row>
    <row r="7" spans="1:13" s="23" customFormat="1" ht="20.25" customHeight="1">
      <c r="A7" s="25">
        <v>2</v>
      </c>
      <c r="B7" s="86" t="s">
        <v>299</v>
      </c>
      <c r="C7" s="57" t="s">
        <v>300</v>
      </c>
      <c r="D7" s="57" t="s">
        <v>210</v>
      </c>
      <c r="E7" s="50" t="s">
        <v>266</v>
      </c>
      <c r="F7" s="16" t="s">
        <v>184</v>
      </c>
      <c r="G7" s="57">
        <v>2500</v>
      </c>
      <c r="H7" s="67">
        <f>G7*0.1352</f>
        <v>337.99999999999994</v>
      </c>
      <c r="I7" s="84"/>
      <c r="J7" s="83"/>
      <c r="K7" s="16"/>
      <c r="L7" s="16"/>
      <c r="M7" s="44"/>
    </row>
    <row r="8" spans="1:13" s="23" customFormat="1" ht="20.25" customHeight="1">
      <c r="A8" s="25">
        <v>3</v>
      </c>
      <c r="B8" s="86" t="s">
        <v>185</v>
      </c>
      <c r="C8" s="57" t="s">
        <v>186</v>
      </c>
      <c r="D8" s="57" t="s">
        <v>210</v>
      </c>
      <c r="E8" s="50" t="s">
        <v>266</v>
      </c>
      <c r="F8" s="16" t="s">
        <v>184</v>
      </c>
      <c r="G8" s="57">
        <v>350</v>
      </c>
      <c r="H8" s="67">
        <f>G8*0.166</f>
        <v>58.1</v>
      </c>
      <c r="I8" s="84"/>
      <c r="J8" s="83"/>
      <c r="K8" s="16"/>
      <c r="L8" s="16"/>
      <c r="M8" s="44"/>
    </row>
    <row r="9" spans="1:13" s="23" customFormat="1" ht="20.25" customHeight="1">
      <c r="A9" s="25">
        <v>4</v>
      </c>
      <c r="B9" s="87" t="s">
        <v>301</v>
      </c>
      <c r="C9" s="47" t="s">
        <v>302</v>
      </c>
      <c r="D9" s="47" t="s">
        <v>210</v>
      </c>
      <c r="E9" s="47" t="s">
        <v>266</v>
      </c>
      <c r="F9" s="47" t="s">
        <v>184</v>
      </c>
      <c r="G9" s="47">
        <v>250</v>
      </c>
      <c r="H9" s="57">
        <f>G9*0.181</f>
        <v>45.25</v>
      </c>
      <c r="I9" s="84"/>
      <c r="J9" s="83"/>
      <c r="K9" s="25"/>
      <c r="L9" s="25"/>
      <c r="M9" s="44"/>
    </row>
    <row r="10" spans="1:13" s="23" customFormat="1" ht="20.25" customHeight="1">
      <c r="A10" s="25">
        <v>5</v>
      </c>
      <c r="B10" s="45" t="s">
        <v>362</v>
      </c>
      <c r="C10" s="45" t="s">
        <v>364</v>
      </c>
      <c r="D10" s="57" t="s">
        <v>210</v>
      </c>
      <c r="E10" s="50" t="s">
        <v>266</v>
      </c>
      <c r="F10" s="69" t="s">
        <v>363</v>
      </c>
      <c r="G10" s="16">
        <v>12000</v>
      </c>
      <c r="H10" s="57">
        <f>G10*0.051</f>
        <v>612</v>
      </c>
      <c r="I10" s="57"/>
      <c r="J10" s="57"/>
      <c r="K10" s="25"/>
      <c r="L10" s="25"/>
      <c r="M10" s="25"/>
    </row>
    <row r="11" spans="1:13" s="23" customFormat="1" ht="20.25" customHeight="1">
      <c r="A11" s="25">
        <v>6</v>
      </c>
      <c r="B11" s="45" t="s">
        <v>283</v>
      </c>
      <c r="C11" s="45" t="s">
        <v>365</v>
      </c>
      <c r="D11" s="57" t="s">
        <v>210</v>
      </c>
      <c r="E11" s="50" t="s">
        <v>266</v>
      </c>
      <c r="F11" s="69" t="s">
        <v>363</v>
      </c>
      <c r="G11" s="16">
        <v>3500</v>
      </c>
      <c r="H11" s="57">
        <f>G11*0.062</f>
        <v>217</v>
      </c>
      <c r="I11" s="57"/>
      <c r="J11" s="57"/>
      <c r="K11" s="25"/>
      <c r="L11" s="25"/>
      <c r="M11" s="25"/>
    </row>
    <row r="12" spans="1:13" s="23" customFormat="1" ht="20.25" customHeight="1">
      <c r="A12" s="25">
        <v>7</v>
      </c>
      <c r="B12" s="45" t="s">
        <v>369</v>
      </c>
      <c r="C12" s="45" t="s">
        <v>372</v>
      </c>
      <c r="D12" s="57" t="s">
        <v>214</v>
      </c>
      <c r="E12" s="50" t="s">
        <v>244</v>
      </c>
      <c r="F12" s="69" t="s">
        <v>363</v>
      </c>
      <c r="G12" s="16">
        <v>1500</v>
      </c>
      <c r="H12" s="57">
        <f>G12*0.071</f>
        <v>106.49999999999999</v>
      </c>
      <c r="I12" s="57"/>
      <c r="J12" s="57"/>
      <c r="K12" s="25"/>
      <c r="L12" s="25"/>
      <c r="M12" s="25"/>
    </row>
    <row r="13" spans="1:13" s="23" customFormat="1" ht="20.25" customHeight="1">
      <c r="A13" s="25">
        <v>8</v>
      </c>
      <c r="B13" s="45" t="s">
        <v>370</v>
      </c>
      <c r="C13" s="45" t="s">
        <v>371</v>
      </c>
      <c r="D13" s="57" t="s">
        <v>214</v>
      </c>
      <c r="E13" s="50" t="s">
        <v>244</v>
      </c>
      <c r="F13" s="69" t="s">
        <v>363</v>
      </c>
      <c r="G13" s="16">
        <v>500</v>
      </c>
      <c r="H13" s="57">
        <f>G13*0.11</f>
        <v>55</v>
      </c>
      <c r="I13" s="57"/>
      <c r="J13" s="57"/>
      <c r="K13" s="25"/>
      <c r="L13" s="25"/>
      <c r="M13" s="25"/>
    </row>
    <row r="14" spans="1:13" s="23" customFormat="1" ht="20.25" customHeight="1">
      <c r="A14" s="25">
        <v>9</v>
      </c>
      <c r="B14" s="45" t="s">
        <v>366</v>
      </c>
      <c r="C14" s="45" t="s">
        <v>367</v>
      </c>
      <c r="D14" s="16" t="s">
        <v>210</v>
      </c>
      <c r="E14" s="50" t="s">
        <v>219</v>
      </c>
      <c r="F14" s="69" t="s">
        <v>363</v>
      </c>
      <c r="G14" s="16">
        <v>6000</v>
      </c>
      <c r="H14" s="57">
        <f>G14*0.037</f>
        <v>222</v>
      </c>
      <c r="I14" s="57"/>
      <c r="J14" s="57"/>
      <c r="K14" s="25"/>
      <c r="L14" s="25"/>
      <c r="M14" s="25"/>
    </row>
    <row r="15" spans="1:13" s="23" customFormat="1" ht="20.25" customHeight="1">
      <c r="A15" s="25">
        <v>10</v>
      </c>
      <c r="B15" s="45" t="s">
        <v>282</v>
      </c>
      <c r="C15" s="45" t="s">
        <v>368</v>
      </c>
      <c r="D15" s="16" t="s">
        <v>210</v>
      </c>
      <c r="E15" s="50" t="s">
        <v>219</v>
      </c>
      <c r="F15" s="69" t="s">
        <v>363</v>
      </c>
      <c r="G15" s="16">
        <v>21000</v>
      </c>
      <c r="H15" s="57">
        <f>G15*0.051</f>
        <v>1071</v>
      </c>
      <c r="I15" s="57"/>
      <c r="J15" s="57"/>
      <c r="K15" s="25"/>
      <c r="L15" s="25"/>
      <c r="M15" s="25"/>
    </row>
    <row r="16" spans="1:13" s="23" customFormat="1" ht="20.25" customHeight="1">
      <c r="A16" s="25">
        <v>11</v>
      </c>
      <c r="B16" s="45" t="s">
        <v>373</v>
      </c>
      <c r="C16" s="16" t="s">
        <v>374</v>
      </c>
      <c r="D16" s="16" t="s">
        <v>214</v>
      </c>
      <c r="E16" s="50" t="s">
        <v>244</v>
      </c>
      <c r="F16" s="69" t="s">
        <v>363</v>
      </c>
      <c r="G16" s="16">
        <v>4000</v>
      </c>
      <c r="H16" s="57">
        <f>G16*0.044</f>
        <v>176</v>
      </c>
      <c r="I16" s="57"/>
      <c r="J16" s="57"/>
      <c r="K16" s="25"/>
      <c r="L16" s="25"/>
      <c r="M16" s="25"/>
    </row>
    <row r="17" spans="1:13" s="23" customFormat="1" ht="20.25" customHeight="1">
      <c r="A17" s="25">
        <v>12</v>
      </c>
      <c r="B17" s="45" t="s">
        <v>375</v>
      </c>
      <c r="C17" s="16" t="s">
        <v>380</v>
      </c>
      <c r="D17" s="16" t="s">
        <v>214</v>
      </c>
      <c r="E17" s="50" t="s">
        <v>337</v>
      </c>
      <c r="F17" s="69" t="s">
        <v>363</v>
      </c>
      <c r="G17" s="16">
        <v>4000</v>
      </c>
      <c r="H17" s="57">
        <f>G17*0.037</f>
        <v>148</v>
      </c>
      <c r="I17" s="57"/>
      <c r="J17" s="57"/>
      <c r="K17" s="25"/>
      <c r="L17" s="25"/>
      <c r="M17" s="25"/>
    </row>
    <row r="18" spans="1:13" s="23" customFormat="1" ht="20.25" customHeight="1">
      <c r="A18" s="25">
        <v>13</v>
      </c>
      <c r="B18" s="45" t="s">
        <v>376</v>
      </c>
      <c r="C18" s="16" t="s">
        <v>381</v>
      </c>
      <c r="D18" s="16" t="s">
        <v>214</v>
      </c>
      <c r="E18" s="50" t="s">
        <v>337</v>
      </c>
      <c r="F18" s="69" t="s">
        <v>363</v>
      </c>
      <c r="G18" s="16">
        <v>6000</v>
      </c>
      <c r="H18" s="57">
        <f>G18*0.042</f>
        <v>252.00000000000003</v>
      </c>
      <c r="I18" s="57"/>
      <c r="J18" s="57"/>
      <c r="K18" s="25"/>
      <c r="L18" s="25"/>
      <c r="M18" s="25"/>
    </row>
    <row r="19" spans="1:13" s="23" customFormat="1" ht="20.25" customHeight="1">
      <c r="A19" s="25">
        <v>14</v>
      </c>
      <c r="B19" s="45" t="s">
        <v>377</v>
      </c>
      <c r="C19" s="16" t="s">
        <v>382</v>
      </c>
      <c r="D19" s="16" t="s">
        <v>214</v>
      </c>
      <c r="E19" s="50" t="s">
        <v>337</v>
      </c>
      <c r="F19" s="69" t="s">
        <v>363</v>
      </c>
      <c r="G19" s="16">
        <v>2000</v>
      </c>
      <c r="H19" s="57">
        <f>G19*0.048</f>
        <v>96</v>
      </c>
      <c r="I19" s="57"/>
      <c r="J19" s="57"/>
      <c r="K19" s="25"/>
      <c r="L19" s="25"/>
      <c r="M19" s="25"/>
    </row>
    <row r="20" spans="1:13" s="23" customFormat="1" ht="20.25" customHeight="1">
      <c r="A20" s="25">
        <v>15</v>
      </c>
      <c r="B20" s="45" t="s">
        <v>378</v>
      </c>
      <c r="C20" s="16" t="s">
        <v>383</v>
      </c>
      <c r="D20" s="16" t="s">
        <v>214</v>
      </c>
      <c r="E20" s="50" t="s">
        <v>337</v>
      </c>
      <c r="F20" s="69" t="s">
        <v>363</v>
      </c>
      <c r="G20" s="16">
        <v>2000</v>
      </c>
      <c r="H20" s="57">
        <f>G20*0.05</f>
        <v>100</v>
      </c>
      <c r="I20" s="57"/>
      <c r="J20" s="57"/>
      <c r="K20" s="25"/>
      <c r="L20" s="25"/>
      <c r="M20" s="25"/>
    </row>
    <row r="21" spans="1:13" s="23" customFormat="1" ht="20.25" customHeight="1">
      <c r="A21" s="25">
        <v>16</v>
      </c>
      <c r="B21" s="45" t="s">
        <v>379</v>
      </c>
      <c r="C21" s="16" t="s">
        <v>384</v>
      </c>
      <c r="D21" s="16" t="s">
        <v>214</v>
      </c>
      <c r="E21" s="50" t="s">
        <v>337</v>
      </c>
      <c r="F21" s="69" t="s">
        <v>363</v>
      </c>
      <c r="G21" s="16">
        <v>2000</v>
      </c>
      <c r="H21" s="57">
        <f>G21*0.052</f>
        <v>104</v>
      </c>
      <c r="I21" s="57"/>
      <c r="J21" s="57"/>
      <c r="K21" s="25"/>
      <c r="L21" s="25"/>
      <c r="M21" s="25"/>
    </row>
    <row r="22" spans="1:13" s="23" customFormat="1" ht="20.25" customHeight="1">
      <c r="A22" s="25"/>
      <c r="B22" s="45"/>
      <c r="C22" s="16"/>
      <c r="D22" s="16"/>
      <c r="E22" s="50"/>
      <c r="F22" s="69"/>
      <c r="G22" s="16"/>
      <c r="H22" s="57"/>
      <c r="I22" s="57"/>
      <c r="J22" s="57"/>
      <c r="K22" s="25"/>
      <c r="L22" s="25"/>
      <c r="M22" s="25"/>
    </row>
    <row r="23" spans="1:13" s="23" customFormat="1" ht="20.25" customHeight="1">
      <c r="A23" s="25"/>
      <c r="B23" s="45"/>
      <c r="C23" s="16"/>
      <c r="D23" s="16"/>
      <c r="E23" s="50"/>
      <c r="F23" s="69"/>
      <c r="G23" s="16"/>
      <c r="H23" s="57"/>
      <c r="I23" s="57"/>
      <c r="J23" s="57"/>
      <c r="K23" s="25"/>
      <c r="L23" s="25"/>
      <c r="M23" s="25"/>
    </row>
    <row r="24" spans="1:13" s="23" customFormat="1" ht="20.25" customHeight="1">
      <c r="A24" s="25"/>
      <c r="B24" s="45"/>
      <c r="C24" s="16"/>
      <c r="D24" s="16"/>
      <c r="E24" s="50"/>
      <c r="F24" s="69"/>
      <c r="G24" s="16"/>
      <c r="H24" s="57"/>
      <c r="I24" s="57"/>
      <c r="J24" s="57"/>
      <c r="K24" s="25"/>
      <c r="L24" s="25"/>
      <c r="M24" s="25"/>
    </row>
    <row r="25" spans="1:13" s="23" customFormat="1" ht="20.25" customHeight="1">
      <c r="A25" s="25"/>
      <c r="B25" s="45"/>
      <c r="C25" s="16"/>
      <c r="D25" s="16"/>
      <c r="E25" s="50"/>
      <c r="F25" s="69"/>
      <c r="G25" s="16"/>
      <c r="H25" s="57"/>
      <c r="I25" s="57"/>
      <c r="J25" s="57"/>
      <c r="K25" s="25"/>
      <c r="L25" s="25"/>
      <c r="M25" s="25"/>
    </row>
    <row r="26" spans="1:13" s="23" customFormat="1" ht="20.25" customHeight="1">
      <c r="A26" s="25"/>
      <c r="B26" s="45"/>
      <c r="C26" s="16"/>
      <c r="D26" s="16"/>
      <c r="E26" s="50"/>
      <c r="F26" s="69"/>
      <c r="G26" s="16"/>
      <c r="H26" s="57"/>
      <c r="I26" s="57"/>
      <c r="J26" s="57"/>
      <c r="K26" s="25"/>
      <c r="L26" s="25"/>
      <c r="M26" s="25"/>
    </row>
    <row r="27" spans="1:13" s="23" customFormat="1" ht="20.25" customHeight="1">
      <c r="A27" s="25"/>
      <c r="B27" s="45"/>
      <c r="C27" s="16"/>
      <c r="D27" s="16"/>
      <c r="E27" s="50"/>
      <c r="F27" s="69"/>
      <c r="G27" s="16"/>
      <c r="H27" s="57"/>
      <c r="I27" s="57"/>
      <c r="J27" s="57"/>
      <c r="K27" s="25"/>
      <c r="L27" s="25"/>
      <c r="M27" s="25"/>
    </row>
    <row r="28" spans="1:13" s="23" customFormat="1" ht="20.25" customHeight="1">
      <c r="A28" s="25"/>
      <c r="B28" s="45"/>
      <c r="C28" s="16"/>
      <c r="D28" s="16"/>
      <c r="E28" s="50"/>
      <c r="F28" s="69"/>
      <c r="G28" s="16"/>
      <c r="H28" s="57"/>
      <c r="I28" s="57"/>
      <c r="J28" s="57"/>
      <c r="K28" s="25"/>
      <c r="L28" s="25"/>
      <c r="M28" s="25"/>
    </row>
    <row r="29" spans="1:13" s="23" customFormat="1" ht="20.25" customHeight="1">
      <c r="A29" s="25"/>
      <c r="B29" s="45"/>
      <c r="C29" s="16"/>
      <c r="D29" s="16"/>
      <c r="E29" s="50"/>
      <c r="F29" s="69"/>
      <c r="G29" s="16"/>
      <c r="H29" s="57"/>
      <c r="I29" s="57"/>
      <c r="J29" s="57"/>
      <c r="K29" s="25"/>
      <c r="L29" s="25"/>
      <c r="M29" s="25"/>
    </row>
    <row r="30" spans="1:13" s="23" customFormat="1" ht="20.25" customHeight="1">
      <c r="A30" s="25"/>
      <c r="B30" s="45"/>
      <c r="C30" s="16"/>
      <c r="D30" s="16"/>
      <c r="E30" s="50"/>
      <c r="F30" s="69"/>
      <c r="G30" s="16"/>
      <c r="H30" s="57"/>
      <c r="I30" s="57"/>
      <c r="J30" s="57"/>
      <c r="K30" s="25"/>
      <c r="L30" s="25"/>
      <c r="M30" s="25"/>
    </row>
    <row r="31" spans="1:13" s="23" customFormat="1" ht="20.25" customHeight="1">
      <c r="A31" s="25"/>
      <c r="B31" s="45"/>
      <c r="C31" s="16"/>
      <c r="D31" s="16"/>
      <c r="E31" s="50"/>
      <c r="F31" s="69"/>
      <c r="G31" s="16"/>
      <c r="H31" s="57"/>
      <c r="I31" s="57"/>
      <c r="J31" s="57"/>
      <c r="K31" s="25"/>
      <c r="L31" s="25"/>
      <c r="M31" s="25"/>
    </row>
    <row r="32" spans="1:13" s="23" customFormat="1" ht="20.25" customHeight="1">
      <c r="A32" s="25"/>
      <c r="B32" s="45"/>
      <c r="C32" s="16"/>
      <c r="D32" s="16"/>
      <c r="E32" s="50"/>
      <c r="F32" s="69"/>
      <c r="G32" s="16"/>
      <c r="H32" s="57"/>
      <c r="I32" s="57"/>
      <c r="J32" s="57"/>
      <c r="K32" s="25"/>
      <c r="L32" s="25"/>
      <c r="M32" s="25"/>
    </row>
    <row r="33" spans="1:13" s="23" customFormat="1" ht="20.25" customHeight="1">
      <c r="A33" s="25"/>
      <c r="B33" s="45"/>
      <c r="C33" s="16"/>
      <c r="D33" s="16"/>
      <c r="E33" s="50"/>
      <c r="F33" s="69"/>
      <c r="G33" s="16"/>
      <c r="H33" s="57"/>
      <c r="I33" s="57"/>
      <c r="J33" s="57"/>
      <c r="K33" s="25"/>
      <c r="L33" s="25"/>
      <c r="M33" s="25"/>
    </row>
    <row r="34" spans="1:13" s="23" customFormat="1" ht="20.25" customHeight="1">
      <c r="A34" s="25"/>
      <c r="B34" s="45"/>
      <c r="C34" s="16"/>
      <c r="D34" s="16"/>
      <c r="E34" s="50"/>
      <c r="F34" s="69"/>
      <c r="G34" s="16"/>
      <c r="H34" s="57"/>
      <c r="I34" s="57"/>
      <c r="J34" s="57"/>
      <c r="K34" s="25"/>
      <c r="L34" s="25"/>
      <c r="M34" s="25"/>
    </row>
    <row r="35" spans="1:13" s="23" customFormat="1" ht="20.25" customHeight="1">
      <c r="A35" s="25"/>
      <c r="B35" s="45"/>
      <c r="C35" s="16"/>
      <c r="D35" s="16"/>
      <c r="E35" s="50"/>
      <c r="F35" s="69"/>
      <c r="G35" s="16"/>
      <c r="H35" s="57"/>
      <c r="I35" s="57"/>
      <c r="J35" s="57"/>
      <c r="K35" s="25"/>
      <c r="L35" s="25"/>
      <c r="M35" s="25"/>
    </row>
    <row r="36" spans="1:13" s="23" customFormat="1" ht="20.25" customHeight="1">
      <c r="A36" s="25"/>
      <c r="B36" s="45"/>
      <c r="C36" s="16"/>
      <c r="D36" s="16"/>
      <c r="E36" s="50"/>
      <c r="F36" s="69"/>
      <c r="G36" s="16"/>
      <c r="H36" s="57"/>
      <c r="I36" s="57"/>
      <c r="J36" s="57"/>
      <c r="K36" s="25"/>
      <c r="L36" s="25"/>
      <c r="M36" s="25"/>
    </row>
    <row r="37" spans="1:13" s="23" customFormat="1" ht="20.25" customHeight="1">
      <c r="A37" s="25"/>
      <c r="B37" s="45"/>
      <c r="C37" s="16"/>
      <c r="D37" s="16"/>
      <c r="E37" s="50"/>
      <c r="F37" s="69"/>
      <c r="G37" s="16"/>
      <c r="H37" s="57"/>
      <c r="I37" s="57"/>
      <c r="J37" s="57"/>
      <c r="K37" s="25"/>
      <c r="L37" s="25"/>
      <c r="M37" s="25"/>
    </row>
    <row r="38" spans="1:13" s="23" customFormat="1" ht="20.25" customHeight="1">
      <c r="A38" s="25"/>
      <c r="B38" s="45"/>
      <c r="C38" s="16"/>
      <c r="D38" s="16"/>
      <c r="E38" s="50"/>
      <c r="F38" s="69"/>
      <c r="G38" s="16"/>
      <c r="H38" s="57"/>
      <c r="I38" s="57"/>
      <c r="J38" s="57"/>
      <c r="K38" s="25"/>
      <c r="L38" s="25"/>
      <c r="M38" s="25"/>
    </row>
    <row r="39" spans="1:13" s="23" customFormat="1" ht="20.25" customHeight="1">
      <c r="A39" s="25"/>
      <c r="B39" s="45"/>
      <c r="C39" s="16"/>
      <c r="D39" s="16"/>
      <c r="E39" s="50"/>
      <c r="F39" s="69"/>
      <c r="G39" s="16"/>
      <c r="H39" s="57"/>
      <c r="I39" s="57"/>
      <c r="J39" s="57"/>
      <c r="K39" s="25"/>
      <c r="L39" s="25"/>
      <c r="M39" s="25"/>
    </row>
    <row r="40" spans="1:13" s="23" customFormat="1" ht="20.25" customHeight="1">
      <c r="A40" s="25"/>
      <c r="B40" s="45"/>
      <c r="C40" s="16"/>
      <c r="D40" s="16"/>
      <c r="E40" s="50"/>
      <c r="F40" s="69"/>
      <c r="G40" s="16"/>
      <c r="H40" s="57"/>
      <c r="I40" s="57"/>
      <c r="J40" s="57"/>
      <c r="K40" s="25"/>
      <c r="L40" s="25"/>
      <c r="M40" s="25"/>
    </row>
    <row r="41" spans="1:13" s="23" customFormat="1" ht="20.25" customHeight="1">
      <c r="A41" s="25"/>
      <c r="B41" s="45"/>
      <c r="C41" s="16"/>
      <c r="D41" s="16"/>
      <c r="E41" s="50"/>
      <c r="F41" s="69"/>
      <c r="G41" s="16"/>
      <c r="H41" s="57"/>
      <c r="I41" s="57"/>
      <c r="J41" s="57"/>
      <c r="K41" s="25"/>
      <c r="L41" s="25"/>
      <c r="M41" s="25"/>
    </row>
    <row r="42" spans="1:13" s="23" customFormat="1" ht="20.25" customHeight="1">
      <c r="A42" s="25"/>
      <c r="B42" s="45"/>
      <c r="C42" s="16"/>
      <c r="D42" s="16"/>
      <c r="E42" s="50"/>
      <c r="F42" s="69"/>
      <c r="G42" s="16"/>
      <c r="H42" s="57"/>
      <c r="I42" s="57"/>
      <c r="J42" s="57"/>
      <c r="K42" s="25"/>
      <c r="L42" s="25"/>
      <c r="M42" s="25"/>
    </row>
    <row r="43" spans="1:13" s="23" customFormat="1" ht="20.25" customHeight="1">
      <c r="A43" s="25"/>
      <c r="B43" s="45"/>
      <c r="C43" s="45"/>
      <c r="D43" s="16"/>
      <c r="E43" s="50"/>
      <c r="F43" s="69"/>
      <c r="G43" s="16"/>
      <c r="H43" s="57"/>
      <c r="I43" s="57"/>
      <c r="J43" s="57"/>
      <c r="K43" s="25"/>
      <c r="L43" s="25"/>
      <c r="M43" s="25"/>
    </row>
    <row r="44" spans="1:13" s="23" customFormat="1" ht="20.25" customHeight="1">
      <c r="A44" s="25"/>
      <c r="B44" s="45"/>
      <c r="C44" s="57"/>
      <c r="D44" s="16"/>
      <c r="E44" s="50"/>
      <c r="F44" s="69"/>
      <c r="G44" s="16"/>
      <c r="H44" s="57"/>
      <c r="I44" s="57"/>
      <c r="J44" s="57"/>
      <c r="K44" s="25"/>
      <c r="L44" s="25"/>
      <c r="M44" s="25"/>
    </row>
    <row r="45" spans="1:13" s="23" customFormat="1" ht="20.25" customHeight="1">
      <c r="A45" s="25"/>
      <c r="B45" s="45"/>
      <c r="C45" s="57"/>
      <c r="D45" s="57"/>
      <c r="E45" s="50"/>
      <c r="F45" s="66"/>
      <c r="G45" s="16"/>
      <c r="H45" s="57"/>
      <c r="I45" s="57"/>
      <c r="J45" s="57"/>
      <c r="K45" s="25"/>
      <c r="L45" s="25"/>
      <c r="M45" s="25"/>
    </row>
    <row r="46" spans="1:13" s="23" customFormat="1" ht="20.25" customHeight="1">
      <c r="A46" s="204" t="s">
        <v>279</v>
      </c>
      <c r="B46" s="205"/>
      <c r="C46" s="205"/>
      <c r="D46" s="205"/>
      <c r="E46" s="205"/>
      <c r="F46" s="206"/>
      <c r="G46" s="60">
        <f>SUM(G6:G45)</f>
        <v>78600</v>
      </c>
      <c r="H46" s="61">
        <f>SUM(H6:H45)</f>
        <v>5006.6499999999996</v>
      </c>
      <c r="I46" s="61"/>
      <c r="J46" s="61"/>
      <c r="K46" s="16"/>
      <c r="L46" s="16"/>
      <c r="M46" s="25"/>
    </row>
    <row r="47" spans="1:13" s="23" customFormat="1" ht="36.75" customHeight="1">
      <c r="A47" s="25"/>
      <c r="B47" s="55" t="s">
        <v>201</v>
      </c>
      <c r="C47" s="32" t="s">
        <v>203</v>
      </c>
      <c r="D47" s="48" t="s">
        <v>206</v>
      </c>
      <c r="E47" s="48" t="s">
        <v>207</v>
      </c>
      <c r="F47" s="48" t="s">
        <v>204</v>
      </c>
      <c r="G47" s="82"/>
      <c r="H47" s="51"/>
      <c r="I47" s="51"/>
      <c r="J47" s="51"/>
      <c r="K47" s="25"/>
      <c r="L47" s="25"/>
      <c r="M47" s="25"/>
    </row>
    <row r="48" spans="1:13" s="23" customFormat="1" ht="20.25" customHeight="1">
      <c r="A48" s="25"/>
      <c r="B48" s="53" t="s">
        <v>208</v>
      </c>
      <c r="C48" s="25">
        <f>9*60*0.75*100</f>
        <v>40500</v>
      </c>
      <c r="D48" s="39">
        <f>9*26*100*60*0.75</f>
        <v>1053000</v>
      </c>
      <c r="E48" s="24">
        <v>175000</v>
      </c>
      <c r="F48" s="56">
        <f>E48/C48</f>
        <v>4.3209876543209873</v>
      </c>
      <c r="G48" s="82"/>
      <c r="H48" s="51"/>
      <c r="I48" s="51"/>
      <c r="J48" s="51"/>
      <c r="K48" s="25"/>
      <c r="L48" s="16"/>
      <c r="M48" s="16"/>
    </row>
    <row r="49" spans="1:13" s="23" customFormat="1" ht="20.25" customHeight="1">
      <c r="A49" s="25"/>
      <c r="B49" s="42"/>
      <c r="C49" s="16"/>
      <c r="D49" s="38"/>
      <c r="E49" s="50"/>
      <c r="F49" s="16"/>
      <c r="G49" s="16"/>
      <c r="H49" s="16"/>
      <c r="I49" s="16"/>
      <c r="J49" s="16"/>
      <c r="K49" s="16"/>
      <c r="L49" s="16"/>
      <c r="M49" s="16"/>
    </row>
    <row r="50" spans="1:13" ht="39" customHeight="1">
      <c r="A50" s="201" t="s">
        <v>278</v>
      </c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3"/>
    </row>
    <row r="51" spans="1:13" ht="26.25" customHeight="1">
      <c r="A51" s="32" t="s">
        <v>116</v>
      </c>
      <c r="B51" s="184" t="s">
        <v>280</v>
      </c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5"/>
    </row>
  </sheetData>
  <mergeCells count="7">
    <mergeCell ref="B51:M51"/>
    <mergeCell ref="A1:K2"/>
    <mergeCell ref="A3:F4"/>
    <mergeCell ref="H3:K3"/>
    <mergeCell ref="H4:K4"/>
    <mergeCell ref="A46:F46"/>
    <mergeCell ref="A50:M50"/>
  </mergeCells>
  <printOptions horizontalCentered="1" verticalCentered="1"/>
  <pageMargins left="0.26" right="0.15" top="0.25" bottom="0.37" header="0.17" footer="0.16"/>
  <pageSetup paperSize="9" scale="5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 filterMode="1">
    <pageSetUpPr fitToPage="1"/>
  </sheetPr>
  <dimension ref="A1:M51"/>
  <sheetViews>
    <sheetView topLeftCell="A8" zoomScaleSheetLayoutView="100" workbookViewId="0">
      <selection activeCell="A5" sqref="A5:XFD5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5.33203125" style="36" customWidth="1"/>
    <col min="5" max="5" width="17" style="19" customWidth="1"/>
    <col min="6" max="6" width="22" style="19" bestFit="1" customWidth="1"/>
    <col min="7" max="7" width="17" style="19" customWidth="1"/>
    <col min="8" max="8" width="15.6640625" style="19" bestFit="1" customWidth="1"/>
    <col min="9" max="10" width="15.6640625" style="19" customWidth="1"/>
    <col min="11" max="11" width="11.6640625" style="19" customWidth="1"/>
    <col min="12" max="12" width="15.109375" style="19" bestFit="1" customWidth="1"/>
    <col min="13" max="13" width="27.6640625" style="19" customWidth="1"/>
    <col min="14" max="14" width="9.109375" style="19"/>
    <col min="15" max="15" width="11.5546875" style="19" bestFit="1" customWidth="1"/>
    <col min="16" max="16" width="11.6640625" style="19" bestFit="1" customWidth="1"/>
    <col min="17" max="16384" width="9.109375" style="19"/>
  </cols>
  <sheetData>
    <row r="1" spans="1:13" ht="14.25" customHeight="1">
      <c r="A1" s="186" t="s">
        <v>274</v>
      </c>
      <c r="B1" s="187"/>
      <c r="C1" s="187"/>
      <c r="D1" s="187"/>
      <c r="E1" s="187"/>
      <c r="F1" s="187"/>
      <c r="G1" s="187"/>
      <c r="H1" s="187"/>
      <c r="I1" s="187"/>
      <c r="J1" s="187"/>
      <c r="K1" s="188"/>
      <c r="L1" s="17" t="s">
        <v>104</v>
      </c>
      <c r="M1" s="33"/>
    </row>
    <row r="2" spans="1:13" ht="18" customHeight="1">
      <c r="A2" s="189"/>
      <c r="B2" s="190"/>
      <c r="C2" s="190"/>
      <c r="D2" s="190"/>
      <c r="E2" s="190"/>
      <c r="F2" s="190"/>
      <c r="G2" s="190"/>
      <c r="H2" s="190"/>
      <c r="I2" s="190"/>
      <c r="J2" s="190"/>
      <c r="K2" s="191"/>
      <c r="L2" s="17" t="s">
        <v>105</v>
      </c>
      <c r="M2" s="33"/>
    </row>
    <row r="3" spans="1:13" ht="14.25" customHeight="1">
      <c r="A3" s="195" t="s">
        <v>385</v>
      </c>
      <c r="B3" s="196"/>
      <c r="C3" s="196"/>
      <c r="D3" s="196"/>
      <c r="E3" s="196"/>
      <c r="F3" s="197"/>
      <c r="G3" s="81" t="s">
        <v>267</v>
      </c>
      <c r="H3" s="192">
        <v>45357</v>
      </c>
      <c r="I3" s="193"/>
      <c r="J3" s="193"/>
      <c r="K3" s="194"/>
      <c r="L3" s="20" t="s">
        <v>106</v>
      </c>
      <c r="M3" s="34"/>
    </row>
    <row r="4" spans="1:13" s="23" customFormat="1" ht="15" customHeight="1">
      <c r="A4" s="198"/>
      <c r="B4" s="199"/>
      <c r="C4" s="199"/>
      <c r="D4" s="199"/>
      <c r="E4" s="199"/>
      <c r="F4" s="200"/>
      <c r="G4" s="81" t="s">
        <v>268</v>
      </c>
      <c r="H4" s="192">
        <v>45361</v>
      </c>
      <c r="I4" s="193"/>
      <c r="J4" s="193"/>
      <c r="K4" s="194"/>
      <c r="L4" s="30" t="s">
        <v>107</v>
      </c>
      <c r="M4" s="22">
        <v>44931</v>
      </c>
    </row>
    <row r="5" spans="1:13" s="23" customFormat="1" ht="37.5" customHeight="1">
      <c r="A5" s="15" t="s">
        <v>273</v>
      </c>
      <c r="B5" s="24" t="s">
        <v>4</v>
      </c>
      <c r="C5" s="24" t="s">
        <v>5</v>
      </c>
      <c r="D5" s="24" t="s">
        <v>110</v>
      </c>
      <c r="E5" s="24" t="s">
        <v>6</v>
      </c>
      <c r="F5" s="24" t="s">
        <v>9</v>
      </c>
      <c r="G5" s="24" t="s">
        <v>7</v>
      </c>
      <c r="H5" s="24" t="s">
        <v>14</v>
      </c>
      <c r="I5" s="24" t="s">
        <v>270</v>
      </c>
      <c r="J5" s="24" t="s">
        <v>271</v>
      </c>
      <c r="K5" s="24" t="s">
        <v>272</v>
      </c>
      <c r="L5" s="24" t="s">
        <v>121</v>
      </c>
      <c r="M5" s="24" t="s">
        <v>15</v>
      </c>
    </row>
    <row r="6" spans="1:13" s="23" customFormat="1" ht="20.25" customHeight="1">
      <c r="A6" s="25">
        <v>1</v>
      </c>
      <c r="B6" s="45" t="s">
        <v>386</v>
      </c>
      <c r="C6" s="85" t="s">
        <v>389</v>
      </c>
      <c r="D6" s="57" t="s">
        <v>210</v>
      </c>
      <c r="E6" s="47" t="s">
        <v>166</v>
      </c>
      <c r="F6" s="16" t="s">
        <v>400</v>
      </c>
      <c r="G6" s="13">
        <v>380</v>
      </c>
      <c r="H6" s="67">
        <f>G6*0.2249</f>
        <v>85.461999999999989</v>
      </c>
      <c r="I6" s="90">
        <v>45357</v>
      </c>
      <c r="J6" s="80">
        <v>45357</v>
      </c>
      <c r="K6" s="80"/>
      <c r="L6" s="16"/>
      <c r="M6" s="44"/>
    </row>
    <row r="7" spans="1:13" s="23" customFormat="1" ht="20.25" customHeight="1">
      <c r="A7" s="25">
        <v>2</v>
      </c>
      <c r="B7" s="45" t="s">
        <v>387</v>
      </c>
      <c r="C7" s="57" t="s">
        <v>390</v>
      </c>
      <c r="D7" s="57" t="s">
        <v>210</v>
      </c>
      <c r="E7" s="47" t="s">
        <v>166</v>
      </c>
      <c r="F7" s="16" t="s">
        <v>400</v>
      </c>
      <c r="G7" s="13">
        <v>1500</v>
      </c>
      <c r="H7" s="67">
        <f>G7*0.2714</f>
        <v>407.09999999999997</v>
      </c>
      <c r="I7" s="84"/>
      <c r="J7" s="83"/>
      <c r="K7" s="16"/>
      <c r="L7" s="16"/>
      <c r="M7" s="44"/>
    </row>
    <row r="8" spans="1:13" s="23" customFormat="1" ht="20.25" customHeight="1">
      <c r="A8" s="25">
        <v>3</v>
      </c>
      <c r="B8" s="45" t="s">
        <v>388</v>
      </c>
      <c r="C8" s="57" t="s">
        <v>391</v>
      </c>
      <c r="D8" s="57" t="s">
        <v>210</v>
      </c>
      <c r="E8" s="47" t="s">
        <v>166</v>
      </c>
      <c r="F8" s="16" t="s">
        <v>400</v>
      </c>
      <c r="G8" s="13">
        <v>1200</v>
      </c>
      <c r="H8" s="67">
        <f>G8*0.394</f>
        <v>472.8</v>
      </c>
      <c r="I8" s="84"/>
      <c r="J8" s="83"/>
      <c r="K8" s="16"/>
      <c r="L8" s="16"/>
      <c r="M8" s="44"/>
    </row>
    <row r="9" spans="1:13" s="23" customFormat="1" ht="20.25" hidden="1" customHeight="1">
      <c r="A9" s="25">
        <v>4</v>
      </c>
      <c r="B9" s="13" t="s">
        <v>392</v>
      </c>
      <c r="C9" s="47" t="s">
        <v>396</v>
      </c>
      <c r="D9" s="57" t="s">
        <v>210</v>
      </c>
      <c r="E9" s="47" t="s">
        <v>166</v>
      </c>
      <c r="F9" s="47" t="s">
        <v>264</v>
      </c>
      <c r="G9" s="47">
        <v>100</v>
      </c>
      <c r="H9" s="57">
        <v>624</v>
      </c>
      <c r="I9" s="84"/>
      <c r="J9" s="83"/>
      <c r="K9" s="25"/>
      <c r="L9" s="25"/>
      <c r="M9" s="44"/>
    </row>
    <row r="10" spans="1:13" s="23" customFormat="1" ht="20.25" hidden="1" customHeight="1">
      <c r="A10" s="25">
        <v>5</v>
      </c>
      <c r="B10" s="13" t="s">
        <v>393</v>
      </c>
      <c r="C10" s="47" t="s">
        <v>397</v>
      </c>
      <c r="D10" s="57" t="s">
        <v>210</v>
      </c>
      <c r="E10" s="47" t="s">
        <v>166</v>
      </c>
      <c r="F10" s="47" t="s">
        <v>264</v>
      </c>
      <c r="G10" s="16">
        <v>360</v>
      </c>
      <c r="H10" s="57">
        <f>G10:G10654</f>
        <v>360</v>
      </c>
      <c r="I10" s="57"/>
      <c r="J10" s="57"/>
      <c r="K10" s="25"/>
      <c r="L10" s="25"/>
      <c r="M10" s="25"/>
    </row>
    <row r="11" spans="1:13" s="23" customFormat="1" ht="20.25" hidden="1" customHeight="1">
      <c r="A11" s="25">
        <v>6</v>
      </c>
      <c r="B11" s="45" t="s">
        <v>394</v>
      </c>
      <c r="C11" s="47" t="s">
        <v>398</v>
      </c>
      <c r="D11" s="57" t="s">
        <v>210</v>
      </c>
      <c r="E11" s="47" t="s">
        <v>166</v>
      </c>
      <c r="F11" s="47" t="s">
        <v>264</v>
      </c>
      <c r="G11" s="16">
        <v>400</v>
      </c>
      <c r="H11" s="57">
        <v>440</v>
      </c>
      <c r="I11" s="57"/>
      <c r="J11" s="57"/>
      <c r="K11" s="25"/>
      <c r="L11" s="25"/>
      <c r="M11" s="25"/>
    </row>
    <row r="12" spans="1:13" s="23" customFormat="1" ht="20.25" hidden="1" customHeight="1">
      <c r="A12" s="25">
        <v>7</v>
      </c>
      <c r="B12" s="45" t="s">
        <v>395</v>
      </c>
      <c r="C12" s="47" t="s">
        <v>399</v>
      </c>
      <c r="D12" s="57" t="s">
        <v>210</v>
      </c>
      <c r="E12" s="47" t="s">
        <v>166</v>
      </c>
      <c r="F12" s="47" t="s">
        <v>264</v>
      </c>
      <c r="G12" s="16">
        <v>1000</v>
      </c>
      <c r="H12" s="57">
        <v>654</v>
      </c>
      <c r="I12" s="57"/>
      <c r="J12" s="57"/>
      <c r="K12" s="25"/>
      <c r="L12" s="25"/>
      <c r="M12" s="25"/>
    </row>
    <row r="13" spans="1:13" s="23" customFormat="1" ht="20.25" customHeight="1">
      <c r="A13" s="25">
        <v>8</v>
      </c>
      <c r="B13" s="42" t="s">
        <v>403</v>
      </c>
      <c r="C13" s="45" t="s">
        <v>401</v>
      </c>
      <c r="D13" s="57" t="s">
        <v>214</v>
      </c>
      <c r="E13" s="47" t="s">
        <v>166</v>
      </c>
      <c r="F13" s="13" t="s">
        <v>402</v>
      </c>
      <c r="G13" s="16">
        <v>130</v>
      </c>
      <c r="H13" s="57">
        <f>G13*0.364</f>
        <v>47.32</v>
      </c>
      <c r="I13" s="57"/>
      <c r="J13" s="57"/>
      <c r="K13" s="25"/>
      <c r="L13" s="25"/>
      <c r="M13" s="25"/>
    </row>
    <row r="14" spans="1:13" s="23" customFormat="1" ht="20.25" customHeight="1">
      <c r="A14" s="25">
        <v>9</v>
      </c>
      <c r="B14" s="42" t="s">
        <v>404</v>
      </c>
      <c r="C14" s="45" t="s">
        <v>405</v>
      </c>
      <c r="D14" s="16" t="s">
        <v>214</v>
      </c>
      <c r="E14" s="47" t="s">
        <v>166</v>
      </c>
      <c r="F14" s="69" t="s">
        <v>402</v>
      </c>
      <c r="G14" s="16">
        <v>2300</v>
      </c>
      <c r="H14" s="57">
        <f>G14*0.283</f>
        <v>650.9</v>
      </c>
      <c r="I14" s="57"/>
      <c r="J14" s="57"/>
      <c r="K14" s="25"/>
      <c r="L14" s="25"/>
      <c r="M14" s="25"/>
    </row>
    <row r="15" spans="1:13" s="23" customFormat="1" ht="20.25" hidden="1" customHeight="1">
      <c r="A15" s="25">
        <v>10</v>
      </c>
      <c r="B15" s="42" t="s">
        <v>406</v>
      </c>
      <c r="C15" s="45" t="s">
        <v>412</v>
      </c>
      <c r="D15" s="16" t="s">
        <v>214</v>
      </c>
      <c r="E15" s="47" t="s">
        <v>166</v>
      </c>
      <c r="F15" s="47" t="s">
        <v>264</v>
      </c>
      <c r="G15" s="16">
        <v>1766</v>
      </c>
      <c r="H15" s="57">
        <f>G15*0.37</f>
        <v>653.41999999999996</v>
      </c>
      <c r="I15" s="57"/>
      <c r="J15" s="57"/>
      <c r="K15" s="25"/>
      <c r="L15" s="25"/>
      <c r="M15" s="25"/>
    </row>
    <row r="16" spans="1:13" s="23" customFormat="1" ht="20.25" hidden="1" customHeight="1">
      <c r="A16" s="25">
        <v>11</v>
      </c>
      <c r="B16" s="42" t="s">
        <v>407</v>
      </c>
      <c r="C16" s="16" t="s">
        <v>413</v>
      </c>
      <c r="D16" s="16" t="s">
        <v>214</v>
      </c>
      <c r="E16" s="47" t="s">
        <v>166</v>
      </c>
      <c r="F16" s="47" t="s">
        <v>264</v>
      </c>
      <c r="G16" s="16">
        <v>3096</v>
      </c>
      <c r="H16" s="57">
        <f>G16*0.7</f>
        <v>2167.1999999999998</v>
      </c>
      <c r="I16" s="57"/>
      <c r="J16" s="57"/>
      <c r="K16" s="25"/>
      <c r="L16" s="25"/>
      <c r="M16" s="25"/>
    </row>
    <row r="17" spans="1:13" s="23" customFormat="1" ht="20.25" hidden="1" customHeight="1">
      <c r="A17" s="25">
        <v>12</v>
      </c>
      <c r="B17" s="42" t="s">
        <v>408</v>
      </c>
      <c r="C17" s="16" t="s">
        <v>414</v>
      </c>
      <c r="D17" s="16" t="s">
        <v>214</v>
      </c>
      <c r="E17" s="47" t="s">
        <v>166</v>
      </c>
      <c r="F17" s="47" t="s">
        <v>264</v>
      </c>
      <c r="G17" s="16">
        <v>765</v>
      </c>
      <c r="H17" s="57">
        <f>G17*0.6</f>
        <v>459</v>
      </c>
      <c r="I17" s="57"/>
      <c r="J17" s="57"/>
      <c r="K17" s="25"/>
      <c r="L17" s="25"/>
      <c r="M17" s="25"/>
    </row>
    <row r="18" spans="1:13" s="23" customFormat="1" ht="20.25" hidden="1" customHeight="1">
      <c r="A18" s="25">
        <v>13</v>
      </c>
      <c r="B18" s="42" t="s">
        <v>409</v>
      </c>
      <c r="C18" s="16" t="s">
        <v>415</v>
      </c>
      <c r="D18" s="16" t="s">
        <v>214</v>
      </c>
      <c r="E18" s="47" t="s">
        <v>166</v>
      </c>
      <c r="F18" s="47" t="s">
        <v>264</v>
      </c>
      <c r="G18" s="16">
        <v>3410</v>
      </c>
      <c r="H18" s="57">
        <f>G18*0.33</f>
        <v>1125.3</v>
      </c>
      <c r="I18" s="57"/>
      <c r="J18" s="57"/>
      <c r="K18" s="25"/>
      <c r="L18" s="25"/>
      <c r="M18" s="25"/>
    </row>
    <row r="19" spans="1:13" s="23" customFormat="1" ht="20.25" hidden="1" customHeight="1">
      <c r="A19" s="25">
        <v>14</v>
      </c>
      <c r="B19" s="42" t="s">
        <v>410</v>
      </c>
      <c r="C19" s="16" t="s">
        <v>416</v>
      </c>
      <c r="D19" s="16" t="s">
        <v>214</v>
      </c>
      <c r="E19" s="47" t="s">
        <v>166</v>
      </c>
      <c r="F19" s="47" t="s">
        <v>264</v>
      </c>
      <c r="G19" s="16">
        <v>3500</v>
      </c>
      <c r="H19" s="57">
        <f>G19*0.3</f>
        <v>1050</v>
      </c>
      <c r="I19" s="57"/>
      <c r="J19" s="57"/>
      <c r="K19" s="25"/>
      <c r="L19" s="25"/>
      <c r="M19" s="25"/>
    </row>
    <row r="20" spans="1:13" s="23" customFormat="1" ht="20.25" hidden="1" customHeight="1">
      <c r="A20" s="25">
        <v>15</v>
      </c>
      <c r="B20" s="42" t="s">
        <v>411</v>
      </c>
      <c r="C20" s="16" t="s">
        <v>398</v>
      </c>
      <c r="D20" s="16" t="s">
        <v>214</v>
      </c>
      <c r="E20" s="47" t="s">
        <v>166</v>
      </c>
      <c r="F20" s="47" t="s">
        <v>264</v>
      </c>
      <c r="G20" s="16">
        <v>938</v>
      </c>
      <c r="H20" s="57">
        <f>G20*0.441</f>
        <v>413.65800000000002</v>
      </c>
      <c r="I20" s="57"/>
      <c r="J20" s="57"/>
      <c r="K20" s="25"/>
      <c r="L20" s="25"/>
      <c r="M20" s="25"/>
    </row>
    <row r="21" spans="1:13" s="23" customFormat="1" ht="20.25" hidden="1" customHeight="1">
      <c r="A21" s="25">
        <v>16</v>
      </c>
      <c r="B21" s="42" t="s">
        <v>417</v>
      </c>
      <c r="C21" s="16" t="s">
        <v>418</v>
      </c>
      <c r="D21" s="16" t="s">
        <v>214</v>
      </c>
      <c r="E21" s="47" t="s">
        <v>166</v>
      </c>
      <c r="F21" s="69" t="s">
        <v>419</v>
      </c>
      <c r="G21" s="16">
        <v>200</v>
      </c>
      <c r="H21" s="57">
        <f>G21*0.6</f>
        <v>120</v>
      </c>
      <c r="I21" s="57"/>
      <c r="J21" s="57"/>
      <c r="K21" s="25"/>
      <c r="L21" s="25"/>
      <c r="M21" s="25"/>
    </row>
    <row r="22" spans="1:13" s="23" customFormat="1" ht="20.25" hidden="1" customHeight="1">
      <c r="A22" s="25"/>
      <c r="B22" s="45"/>
      <c r="C22" s="16"/>
      <c r="D22" s="16"/>
      <c r="E22" s="50"/>
      <c r="F22" s="69"/>
      <c r="G22" s="16"/>
      <c r="H22" s="57"/>
      <c r="I22" s="57"/>
      <c r="J22" s="57"/>
      <c r="K22" s="25"/>
      <c r="L22" s="25"/>
      <c r="M22" s="25"/>
    </row>
    <row r="23" spans="1:13" s="23" customFormat="1" ht="20.25" hidden="1" customHeight="1">
      <c r="A23" s="25"/>
      <c r="B23" s="45"/>
      <c r="C23" s="16"/>
      <c r="D23" s="16"/>
      <c r="E23" s="50"/>
      <c r="F23" s="69"/>
      <c r="G23" s="16"/>
      <c r="H23" s="57"/>
      <c r="I23" s="57"/>
      <c r="J23" s="57"/>
      <c r="K23" s="25"/>
      <c r="L23" s="25"/>
      <c r="M23" s="25"/>
    </row>
    <row r="24" spans="1:13" s="23" customFormat="1" ht="20.25" hidden="1" customHeight="1">
      <c r="A24" s="25"/>
      <c r="B24" s="45"/>
      <c r="C24" s="16"/>
      <c r="D24" s="16"/>
      <c r="E24" s="50"/>
      <c r="F24" s="69"/>
      <c r="G24" s="16"/>
      <c r="H24" s="57"/>
      <c r="I24" s="57"/>
      <c r="J24" s="57"/>
      <c r="K24" s="25"/>
      <c r="L24" s="25"/>
      <c r="M24" s="25"/>
    </row>
    <row r="25" spans="1:13" s="23" customFormat="1" ht="20.25" hidden="1" customHeight="1">
      <c r="A25" s="25"/>
      <c r="B25" s="45"/>
      <c r="C25" s="16"/>
      <c r="D25" s="16"/>
      <c r="E25" s="50"/>
      <c r="F25" s="69"/>
      <c r="G25" s="16"/>
      <c r="H25" s="57"/>
      <c r="I25" s="57"/>
      <c r="J25" s="57"/>
      <c r="K25" s="25"/>
      <c r="L25" s="25"/>
      <c r="M25" s="25"/>
    </row>
    <row r="26" spans="1:13" s="23" customFormat="1" ht="20.25" hidden="1" customHeight="1">
      <c r="A26" s="25"/>
      <c r="B26" s="45"/>
      <c r="C26" s="16"/>
      <c r="D26" s="16"/>
      <c r="E26" s="50"/>
      <c r="F26" s="69"/>
      <c r="G26" s="16"/>
      <c r="H26" s="57"/>
      <c r="I26" s="57"/>
      <c r="J26" s="57"/>
      <c r="K26" s="25"/>
      <c r="L26" s="25"/>
      <c r="M26" s="25"/>
    </row>
    <row r="27" spans="1:13" s="23" customFormat="1" ht="20.25" hidden="1" customHeight="1">
      <c r="A27" s="25"/>
      <c r="B27" s="45"/>
      <c r="C27" s="16"/>
      <c r="D27" s="16"/>
      <c r="E27" s="50"/>
      <c r="F27" s="69"/>
      <c r="G27" s="16"/>
      <c r="H27" s="57"/>
      <c r="I27" s="57"/>
      <c r="J27" s="57"/>
      <c r="K27" s="25"/>
      <c r="L27" s="25"/>
      <c r="M27" s="25"/>
    </row>
    <row r="28" spans="1:13" s="23" customFormat="1" ht="20.25" hidden="1" customHeight="1">
      <c r="A28" s="25"/>
      <c r="B28" s="45"/>
      <c r="C28" s="16"/>
      <c r="D28" s="16"/>
      <c r="E28" s="50"/>
      <c r="F28" s="69"/>
      <c r="G28" s="16"/>
      <c r="H28" s="57"/>
      <c r="I28" s="57"/>
      <c r="J28" s="57"/>
      <c r="K28" s="25"/>
      <c r="L28" s="25"/>
      <c r="M28" s="25"/>
    </row>
    <row r="29" spans="1:13" s="23" customFormat="1" ht="20.25" hidden="1" customHeight="1">
      <c r="A29" s="25"/>
      <c r="B29" s="45"/>
      <c r="C29" s="16"/>
      <c r="D29" s="16"/>
      <c r="E29" s="50"/>
      <c r="F29" s="69"/>
      <c r="G29" s="16"/>
      <c r="H29" s="57"/>
      <c r="I29" s="57"/>
      <c r="J29" s="57"/>
      <c r="K29" s="25"/>
      <c r="L29" s="25"/>
      <c r="M29" s="25"/>
    </row>
    <row r="30" spans="1:13" s="23" customFormat="1" ht="20.25" hidden="1" customHeight="1">
      <c r="A30" s="25"/>
      <c r="B30" s="45"/>
      <c r="C30" s="16"/>
      <c r="D30" s="16"/>
      <c r="E30" s="50"/>
      <c r="F30" s="69"/>
      <c r="G30" s="16"/>
      <c r="H30" s="57"/>
      <c r="I30" s="57"/>
      <c r="J30" s="57"/>
      <c r="K30" s="25"/>
      <c r="L30" s="25"/>
      <c r="M30" s="25"/>
    </row>
    <row r="31" spans="1:13" s="23" customFormat="1" ht="20.25" hidden="1" customHeight="1">
      <c r="A31" s="25"/>
      <c r="B31" s="45"/>
      <c r="C31" s="16"/>
      <c r="D31" s="16"/>
      <c r="E31" s="50"/>
      <c r="F31" s="69"/>
      <c r="G31" s="16"/>
      <c r="H31" s="57"/>
      <c r="I31" s="57"/>
      <c r="J31" s="57"/>
      <c r="K31" s="25"/>
      <c r="L31" s="25"/>
      <c r="M31" s="25"/>
    </row>
    <row r="32" spans="1:13" s="23" customFormat="1" ht="20.25" hidden="1" customHeight="1">
      <c r="A32" s="25"/>
      <c r="B32" s="45"/>
      <c r="C32" s="16"/>
      <c r="D32" s="16"/>
      <c r="E32" s="50"/>
      <c r="F32" s="69"/>
      <c r="G32" s="16"/>
      <c r="H32" s="57"/>
      <c r="I32" s="57"/>
      <c r="J32" s="57"/>
      <c r="K32" s="25"/>
      <c r="L32" s="25"/>
      <c r="M32" s="25"/>
    </row>
    <row r="33" spans="1:13" s="23" customFormat="1" ht="20.25" hidden="1" customHeight="1">
      <c r="A33" s="25"/>
      <c r="B33" s="45"/>
      <c r="C33" s="16"/>
      <c r="D33" s="16"/>
      <c r="E33" s="50"/>
      <c r="F33" s="69"/>
      <c r="G33" s="16"/>
      <c r="H33" s="57"/>
      <c r="I33" s="57"/>
      <c r="J33" s="57"/>
      <c r="K33" s="25"/>
      <c r="L33" s="25"/>
      <c r="M33" s="25"/>
    </row>
    <row r="34" spans="1:13" s="23" customFormat="1" ht="20.25" hidden="1" customHeight="1">
      <c r="A34" s="25"/>
      <c r="B34" s="45"/>
      <c r="C34" s="16"/>
      <c r="D34" s="16"/>
      <c r="E34" s="50"/>
      <c r="F34" s="69"/>
      <c r="G34" s="16"/>
      <c r="H34" s="57"/>
      <c r="I34" s="57"/>
      <c r="J34" s="57"/>
      <c r="K34" s="25"/>
      <c r="L34" s="25"/>
      <c r="M34" s="25"/>
    </row>
    <row r="35" spans="1:13" s="23" customFormat="1" ht="20.25" hidden="1" customHeight="1">
      <c r="A35" s="25"/>
      <c r="B35" s="45"/>
      <c r="C35" s="16"/>
      <c r="D35" s="16"/>
      <c r="E35" s="50"/>
      <c r="F35" s="69"/>
      <c r="G35" s="16"/>
      <c r="H35" s="57"/>
      <c r="I35" s="57"/>
      <c r="J35" s="57"/>
      <c r="K35" s="25"/>
      <c r="L35" s="25"/>
      <c r="M35" s="25"/>
    </row>
    <row r="36" spans="1:13" s="23" customFormat="1" ht="20.25" hidden="1" customHeight="1">
      <c r="A36" s="25"/>
      <c r="B36" s="45"/>
      <c r="C36" s="16"/>
      <c r="D36" s="16"/>
      <c r="E36" s="50"/>
      <c r="F36" s="69"/>
      <c r="G36" s="16"/>
      <c r="H36" s="57"/>
      <c r="I36" s="57"/>
      <c r="J36" s="57"/>
      <c r="K36" s="25"/>
      <c r="L36" s="25"/>
      <c r="M36" s="25"/>
    </row>
    <row r="37" spans="1:13" s="23" customFormat="1" ht="20.25" hidden="1" customHeight="1">
      <c r="A37" s="25"/>
      <c r="B37" s="45"/>
      <c r="C37" s="16"/>
      <c r="D37" s="16"/>
      <c r="E37" s="50"/>
      <c r="F37" s="69"/>
      <c r="G37" s="16"/>
      <c r="H37" s="57"/>
      <c r="I37" s="57"/>
      <c r="J37" s="57"/>
      <c r="K37" s="25"/>
      <c r="L37" s="25"/>
      <c r="M37" s="25"/>
    </row>
    <row r="38" spans="1:13" s="23" customFormat="1" ht="20.25" hidden="1" customHeight="1">
      <c r="A38" s="25"/>
      <c r="B38" s="45"/>
      <c r="C38" s="16"/>
      <c r="D38" s="16"/>
      <c r="E38" s="50"/>
      <c r="F38" s="69"/>
      <c r="G38" s="16"/>
      <c r="H38" s="57"/>
      <c r="I38" s="57"/>
      <c r="J38" s="57"/>
      <c r="K38" s="25"/>
      <c r="L38" s="25"/>
      <c r="M38" s="25"/>
    </row>
    <row r="39" spans="1:13" s="23" customFormat="1" ht="20.25" hidden="1" customHeight="1">
      <c r="A39" s="25"/>
      <c r="B39" s="45"/>
      <c r="C39" s="16"/>
      <c r="D39" s="16"/>
      <c r="E39" s="50"/>
      <c r="F39" s="69"/>
      <c r="G39" s="16"/>
      <c r="H39" s="57"/>
      <c r="I39" s="57"/>
      <c r="J39" s="57"/>
      <c r="K39" s="25"/>
      <c r="L39" s="25"/>
      <c r="M39" s="25"/>
    </row>
    <row r="40" spans="1:13" s="23" customFormat="1" ht="20.25" hidden="1" customHeight="1">
      <c r="A40" s="25"/>
      <c r="B40" s="45"/>
      <c r="C40" s="16"/>
      <c r="D40" s="16"/>
      <c r="E40" s="50"/>
      <c r="F40" s="69"/>
      <c r="G40" s="16"/>
      <c r="H40" s="57"/>
      <c r="I40" s="57"/>
      <c r="J40" s="57"/>
      <c r="K40" s="25"/>
      <c r="L40" s="25"/>
      <c r="M40" s="25"/>
    </row>
    <row r="41" spans="1:13" s="23" customFormat="1" ht="20.25" hidden="1" customHeight="1">
      <c r="A41" s="25"/>
      <c r="B41" s="45"/>
      <c r="C41" s="16"/>
      <c r="D41" s="16"/>
      <c r="E41" s="50"/>
      <c r="F41" s="69"/>
      <c r="G41" s="16"/>
      <c r="H41" s="57"/>
      <c r="I41" s="57"/>
      <c r="J41" s="57"/>
      <c r="K41" s="25"/>
      <c r="L41" s="25"/>
      <c r="M41" s="25"/>
    </row>
    <row r="42" spans="1:13" s="23" customFormat="1" ht="20.25" hidden="1" customHeight="1">
      <c r="A42" s="25"/>
      <c r="B42" s="45"/>
      <c r="C42" s="16"/>
      <c r="D42" s="16"/>
      <c r="E42" s="50"/>
      <c r="F42" s="69"/>
      <c r="G42" s="16"/>
      <c r="H42" s="57"/>
      <c r="I42" s="57"/>
      <c r="J42" s="57"/>
      <c r="K42" s="25"/>
      <c r="L42" s="25"/>
      <c r="M42" s="25"/>
    </row>
    <row r="43" spans="1:13" s="23" customFormat="1" ht="20.25" hidden="1" customHeight="1">
      <c r="A43" s="25"/>
      <c r="B43" s="45"/>
      <c r="C43" s="45"/>
      <c r="D43" s="16"/>
      <c r="E43" s="50"/>
      <c r="F43" s="69"/>
      <c r="G43" s="16"/>
      <c r="H43" s="57"/>
      <c r="I43" s="57"/>
      <c r="J43" s="57"/>
      <c r="K43" s="25"/>
      <c r="L43" s="25"/>
      <c r="M43" s="25"/>
    </row>
    <row r="44" spans="1:13" s="23" customFormat="1" ht="20.25" hidden="1" customHeight="1">
      <c r="A44" s="25"/>
      <c r="B44" s="45"/>
      <c r="C44" s="57"/>
      <c r="D44" s="16"/>
      <c r="E44" s="50"/>
      <c r="F44" s="69"/>
      <c r="G44" s="16"/>
      <c r="H44" s="57"/>
      <c r="I44" s="57"/>
      <c r="J44" s="57"/>
      <c r="K44" s="25"/>
      <c r="L44" s="25"/>
      <c r="M44" s="25"/>
    </row>
    <row r="45" spans="1:13" s="23" customFormat="1" ht="20.25" hidden="1" customHeight="1">
      <c r="A45" s="25"/>
      <c r="B45" s="45"/>
      <c r="C45" s="57"/>
      <c r="D45" s="57"/>
      <c r="E45" s="50"/>
      <c r="F45" s="66"/>
      <c r="G45" s="16"/>
      <c r="H45" s="57"/>
      <c r="I45" s="57"/>
      <c r="J45" s="57"/>
      <c r="K45" s="25"/>
      <c r="L45" s="25"/>
      <c r="M45" s="25"/>
    </row>
    <row r="46" spans="1:13" s="23" customFormat="1" ht="20.25" customHeight="1">
      <c r="A46" s="204" t="s">
        <v>279</v>
      </c>
      <c r="B46" s="205"/>
      <c r="C46" s="205"/>
      <c r="D46" s="205"/>
      <c r="E46" s="205"/>
      <c r="F46" s="206"/>
      <c r="G46" s="60">
        <f>SUM(G6:G45)</f>
        <v>21045</v>
      </c>
      <c r="H46" s="61">
        <f>SUM(H6:H45)</f>
        <v>9730.16</v>
      </c>
      <c r="I46" s="61"/>
      <c r="J46" s="61"/>
      <c r="K46" s="16"/>
      <c r="L46" s="16"/>
      <c r="M46" s="25"/>
    </row>
    <row r="47" spans="1:13" s="23" customFormat="1" ht="36.75" customHeight="1">
      <c r="A47" s="25"/>
      <c r="B47" s="55" t="s">
        <v>201</v>
      </c>
      <c r="C47" s="32" t="s">
        <v>203</v>
      </c>
      <c r="D47" s="48" t="s">
        <v>206</v>
      </c>
      <c r="E47" s="48" t="s">
        <v>207</v>
      </c>
      <c r="F47" s="48" t="s">
        <v>204</v>
      </c>
      <c r="G47" s="82"/>
      <c r="H47" s="51"/>
      <c r="I47" s="51"/>
      <c r="J47" s="51"/>
      <c r="K47" s="25"/>
      <c r="L47" s="25"/>
      <c r="M47" s="25"/>
    </row>
    <row r="48" spans="1:13" s="23" customFormat="1" ht="20.25" customHeight="1">
      <c r="A48" s="25"/>
      <c r="B48" s="53" t="s">
        <v>281</v>
      </c>
      <c r="C48" s="25">
        <f>9*60*0.75*40</f>
        <v>16200</v>
      </c>
      <c r="D48" s="39">
        <f>9*26*40*60*0.75</f>
        <v>421200</v>
      </c>
      <c r="E48" s="24">
        <v>21045</v>
      </c>
      <c r="F48" s="91">
        <f>E48/C48</f>
        <v>1.299074074074074</v>
      </c>
      <c r="G48" s="82"/>
      <c r="H48" s="51"/>
      <c r="I48" s="51"/>
      <c r="J48" s="51"/>
      <c r="K48" s="25"/>
      <c r="L48" s="16"/>
      <c r="M48" s="16"/>
    </row>
    <row r="49" spans="1:13" s="23" customFormat="1" ht="20.25" customHeight="1">
      <c r="A49" s="25"/>
      <c r="B49" s="42"/>
      <c r="C49" s="16"/>
      <c r="D49" s="38"/>
      <c r="E49" s="50"/>
      <c r="F49" s="16"/>
      <c r="G49" s="16"/>
      <c r="H49" s="16"/>
      <c r="I49" s="16"/>
      <c r="J49" s="16"/>
      <c r="K49" s="16"/>
      <c r="L49" s="16"/>
      <c r="M49" s="16"/>
    </row>
    <row r="50" spans="1:13" ht="39" customHeight="1">
      <c r="A50" s="201" t="s">
        <v>278</v>
      </c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3"/>
    </row>
    <row r="51" spans="1:13" ht="26.25" customHeight="1">
      <c r="A51" s="32" t="s">
        <v>116</v>
      </c>
      <c r="B51" s="184" t="s">
        <v>280</v>
      </c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5"/>
    </row>
  </sheetData>
  <autoFilter ref="A5:M21" xr:uid="{00000000-0009-0000-0000-000003000000}">
    <filterColumn colId="2">
      <filters>
        <filter val="M20X2.5X120 HHB"/>
        <filter val="M20X2.5X140 HHB"/>
        <filter val="M20X2.5X70 HHB"/>
        <filter val="M20X2.5X90 HHB"/>
        <filter val="M20X2.5X95 HHB"/>
      </filters>
    </filterColumn>
  </autoFilter>
  <mergeCells count="7">
    <mergeCell ref="B51:M51"/>
    <mergeCell ref="A1:K2"/>
    <mergeCell ref="A3:F4"/>
    <mergeCell ref="H3:K3"/>
    <mergeCell ref="H4:K4"/>
    <mergeCell ref="A46:F46"/>
    <mergeCell ref="A50:M50"/>
  </mergeCells>
  <printOptions horizontalCentered="1" verticalCentered="1"/>
  <pageMargins left="0.26" right="0.15" top="0.25" bottom="0.37" header="0.17" footer="0.16"/>
  <pageSetup paperSize="9" scale="6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 filterMode="1">
    <pageSetUpPr fitToPage="1"/>
  </sheetPr>
  <dimension ref="A1:Q85"/>
  <sheetViews>
    <sheetView zoomScale="86" zoomScaleNormal="86" zoomScaleSheetLayoutView="100" workbookViewId="0">
      <selection activeCell="L15" sqref="L15:L18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1" style="19" bestFit="1" customWidth="1"/>
    <col min="5" max="5" width="13.88671875" style="19" bestFit="1" customWidth="1"/>
    <col min="6" max="6" width="11.6640625" style="19" bestFit="1" customWidth="1"/>
    <col min="7" max="7" width="10" style="19" bestFit="1" customWidth="1"/>
    <col min="8" max="8" width="15.33203125" style="36" customWidth="1"/>
    <col min="9" max="9" width="17" style="19" customWidth="1"/>
    <col min="10" max="10" width="22" style="19" bestFit="1" customWidth="1"/>
    <col min="11" max="11" width="17" style="19" customWidth="1"/>
    <col min="12" max="12" width="15.6640625" style="19" bestFit="1" customWidth="1"/>
    <col min="13" max="14" width="15.6640625" style="19" customWidth="1"/>
    <col min="15" max="15" width="11.6640625" style="19" customWidth="1"/>
    <col min="16" max="16" width="15.109375" style="19" bestFit="1" customWidth="1"/>
    <col min="17" max="17" width="27.6640625" style="19" customWidth="1"/>
    <col min="18" max="18" width="9.109375" style="19"/>
    <col min="19" max="19" width="11.5546875" style="19" bestFit="1" customWidth="1"/>
    <col min="20" max="20" width="11.6640625" style="19" bestFit="1" customWidth="1"/>
    <col min="21" max="16384" width="9.109375" style="19"/>
  </cols>
  <sheetData>
    <row r="1" spans="1:17" ht="14.25" customHeight="1">
      <c r="A1" s="186" t="s">
        <v>274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8"/>
      <c r="P1" s="17" t="s">
        <v>104</v>
      </c>
      <c r="Q1" s="33"/>
    </row>
    <row r="2" spans="1:17" ht="14.25" customHeight="1">
      <c r="A2" s="207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9"/>
      <c r="P2" s="17"/>
      <c r="Q2" s="33"/>
    </row>
    <row r="3" spans="1:17" ht="18" customHeight="1">
      <c r="A3" s="189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1"/>
      <c r="P3" s="17" t="s">
        <v>105</v>
      </c>
      <c r="Q3" s="33"/>
    </row>
    <row r="4" spans="1:17" ht="14.25" customHeight="1">
      <c r="A4" s="195" t="s">
        <v>269</v>
      </c>
      <c r="B4" s="196"/>
      <c r="C4" s="196"/>
      <c r="D4" s="196"/>
      <c r="E4" s="196"/>
      <c r="F4" s="196"/>
      <c r="G4" s="196"/>
      <c r="H4" s="196"/>
      <c r="I4" s="196"/>
      <c r="J4" s="197"/>
      <c r="K4" s="81" t="s">
        <v>267</v>
      </c>
      <c r="L4" s="192">
        <v>45357</v>
      </c>
      <c r="M4" s="193"/>
      <c r="N4" s="193"/>
      <c r="O4" s="194"/>
      <c r="P4" s="20" t="s">
        <v>106</v>
      </c>
      <c r="Q4" s="34"/>
    </row>
    <row r="5" spans="1:17" s="23" customFormat="1" ht="15" customHeight="1">
      <c r="A5" s="198"/>
      <c r="B5" s="199"/>
      <c r="C5" s="199"/>
      <c r="D5" s="199"/>
      <c r="E5" s="199"/>
      <c r="F5" s="199"/>
      <c r="G5" s="199"/>
      <c r="H5" s="199"/>
      <c r="I5" s="199"/>
      <c r="J5" s="200"/>
      <c r="K5" s="81" t="s">
        <v>268</v>
      </c>
      <c r="L5" s="192">
        <v>45361</v>
      </c>
      <c r="M5" s="193"/>
      <c r="N5" s="193"/>
      <c r="O5" s="194"/>
      <c r="P5" s="30" t="s">
        <v>107</v>
      </c>
      <c r="Q5" s="22">
        <v>44931</v>
      </c>
    </row>
    <row r="6" spans="1:17" s="23" customFormat="1" ht="37.5" customHeight="1">
      <c r="A6" s="15" t="s">
        <v>273</v>
      </c>
      <c r="B6" s="24" t="s">
        <v>4</v>
      </c>
      <c r="C6" s="24" t="s">
        <v>5</v>
      </c>
      <c r="D6" s="24" t="s">
        <v>450</v>
      </c>
      <c r="E6" s="24" t="s">
        <v>451</v>
      </c>
      <c r="F6" s="24" t="s">
        <v>452</v>
      </c>
      <c r="G6" s="24" t="s">
        <v>453</v>
      </c>
      <c r="H6" s="24" t="s">
        <v>110</v>
      </c>
      <c r="I6" s="24" t="s">
        <v>6</v>
      </c>
      <c r="J6" s="24" t="s">
        <v>9</v>
      </c>
      <c r="K6" s="24" t="s">
        <v>7</v>
      </c>
      <c r="L6" s="24" t="s">
        <v>14</v>
      </c>
      <c r="M6" s="24" t="s">
        <v>270</v>
      </c>
      <c r="N6" s="24" t="s">
        <v>271</v>
      </c>
      <c r="O6" s="24" t="s">
        <v>272</v>
      </c>
      <c r="P6" s="24" t="s">
        <v>121</v>
      </c>
      <c r="Q6" s="24" t="s">
        <v>15</v>
      </c>
    </row>
    <row r="7" spans="1:17" s="23" customFormat="1" ht="20.25" customHeight="1">
      <c r="A7" s="25">
        <v>1</v>
      </c>
      <c r="B7" s="95" t="s">
        <v>297</v>
      </c>
      <c r="C7" s="96" t="s">
        <v>298</v>
      </c>
      <c r="D7" s="96">
        <v>16</v>
      </c>
      <c r="E7" s="96">
        <v>65</v>
      </c>
      <c r="F7" s="96">
        <v>2</v>
      </c>
      <c r="G7" s="96">
        <v>24</v>
      </c>
      <c r="H7" s="97" t="s">
        <v>210</v>
      </c>
      <c r="I7" s="98" t="s">
        <v>166</v>
      </c>
      <c r="J7" s="99" t="s">
        <v>184</v>
      </c>
      <c r="K7" s="97">
        <v>11000</v>
      </c>
      <c r="L7" s="100">
        <f>K7*0.1278</f>
        <v>1405.8</v>
      </c>
      <c r="M7" s="90">
        <v>45357</v>
      </c>
      <c r="N7" s="80">
        <v>45357</v>
      </c>
      <c r="O7" s="80"/>
      <c r="P7" s="16"/>
      <c r="Q7" s="44"/>
    </row>
    <row r="8" spans="1:17" s="23" customFormat="1" ht="20.25" customHeight="1">
      <c r="A8" s="25">
        <v>2</v>
      </c>
      <c r="B8" s="101" t="s">
        <v>299</v>
      </c>
      <c r="C8" s="97" t="s">
        <v>300</v>
      </c>
      <c r="D8" s="96">
        <v>16</v>
      </c>
      <c r="E8" s="97">
        <v>70</v>
      </c>
      <c r="F8" s="97">
        <v>2</v>
      </c>
      <c r="G8" s="96">
        <v>24</v>
      </c>
      <c r="H8" s="97" t="s">
        <v>210</v>
      </c>
      <c r="I8" s="98" t="s">
        <v>166</v>
      </c>
      <c r="J8" s="99" t="s">
        <v>184</v>
      </c>
      <c r="K8" s="97">
        <v>2500</v>
      </c>
      <c r="L8" s="100">
        <f>K8*0.1352</f>
        <v>337.99999999999994</v>
      </c>
      <c r="M8" s="84"/>
      <c r="N8" s="83"/>
      <c r="O8" s="16"/>
      <c r="P8" s="16"/>
      <c r="Q8" s="44"/>
    </row>
    <row r="9" spans="1:17" s="23" customFormat="1" ht="20.25" customHeight="1">
      <c r="A9" s="25">
        <v>3</v>
      </c>
      <c r="B9" s="101" t="s">
        <v>185</v>
      </c>
      <c r="C9" s="97" t="s">
        <v>186</v>
      </c>
      <c r="D9" s="96">
        <v>16</v>
      </c>
      <c r="E9" s="97">
        <v>90</v>
      </c>
      <c r="F9" s="97">
        <v>2</v>
      </c>
      <c r="G9" s="96">
        <v>24</v>
      </c>
      <c r="H9" s="97" t="s">
        <v>210</v>
      </c>
      <c r="I9" s="98" t="s">
        <v>166</v>
      </c>
      <c r="J9" s="99" t="s">
        <v>184</v>
      </c>
      <c r="K9" s="97">
        <v>350</v>
      </c>
      <c r="L9" s="100">
        <f>K9*0.166</f>
        <v>58.1</v>
      </c>
      <c r="M9" s="84"/>
      <c r="N9" s="83"/>
      <c r="O9" s="16"/>
      <c r="P9" s="16"/>
      <c r="Q9" s="44"/>
    </row>
    <row r="10" spans="1:17" s="23" customFormat="1" ht="20.25" customHeight="1">
      <c r="A10" s="25">
        <v>4</v>
      </c>
      <c r="B10" s="102" t="s">
        <v>301</v>
      </c>
      <c r="C10" s="98" t="s">
        <v>302</v>
      </c>
      <c r="D10" s="96">
        <v>16</v>
      </c>
      <c r="E10" s="98">
        <v>100</v>
      </c>
      <c r="F10" s="98">
        <v>2</v>
      </c>
      <c r="G10" s="96">
        <v>24</v>
      </c>
      <c r="H10" s="98" t="s">
        <v>210</v>
      </c>
      <c r="I10" s="98" t="s">
        <v>166</v>
      </c>
      <c r="J10" s="98" t="s">
        <v>184</v>
      </c>
      <c r="K10" s="98">
        <v>250</v>
      </c>
      <c r="L10" s="97">
        <f>K10*0.181</f>
        <v>45.25</v>
      </c>
      <c r="M10" s="84"/>
      <c r="N10" s="83"/>
      <c r="O10" s="25"/>
      <c r="P10" s="25"/>
      <c r="Q10" s="44"/>
    </row>
    <row r="11" spans="1:17" s="23" customFormat="1" ht="20.25" customHeight="1">
      <c r="A11" s="25">
        <v>5</v>
      </c>
      <c r="B11" s="45" t="s">
        <v>362</v>
      </c>
      <c r="C11" s="45" t="s">
        <v>364</v>
      </c>
      <c r="D11" s="45">
        <v>12</v>
      </c>
      <c r="E11" s="45">
        <v>50</v>
      </c>
      <c r="F11" s="45">
        <v>1.75</v>
      </c>
      <c r="G11" s="45">
        <v>18</v>
      </c>
      <c r="H11" s="57" t="s">
        <v>210</v>
      </c>
      <c r="I11" s="47" t="s">
        <v>166</v>
      </c>
      <c r="J11" s="69" t="s">
        <v>363</v>
      </c>
      <c r="K11" s="16">
        <v>12000</v>
      </c>
      <c r="L11" s="57">
        <f>K11*0.051</f>
        <v>612</v>
      </c>
      <c r="M11" s="57"/>
      <c r="N11" s="57"/>
      <c r="O11" s="25"/>
      <c r="P11" s="25"/>
      <c r="Q11" s="25"/>
    </row>
    <row r="12" spans="1:17" s="23" customFormat="1" ht="20.25" customHeight="1">
      <c r="A12" s="25">
        <v>6</v>
      </c>
      <c r="B12" s="45" t="s">
        <v>283</v>
      </c>
      <c r="C12" s="45" t="s">
        <v>365</v>
      </c>
      <c r="D12" s="45">
        <v>12</v>
      </c>
      <c r="E12" s="45">
        <v>60</v>
      </c>
      <c r="F12" s="45">
        <v>1.75</v>
      </c>
      <c r="G12" s="45">
        <v>18</v>
      </c>
      <c r="H12" s="57" t="s">
        <v>210</v>
      </c>
      <c r="I12" s="47" t="s">
        <v>166</v>
      </c>
      <c r="J12" s="69" t="s">
        <v>363</v>
      </c>
      <c r="K12" s="16">
        <v>3500</v>
      </c>
      <c r="L12" s="57">
        <f>K12*0.062</f>
        <v>217</v>
      </c>
      <c r="M12" s="57"/>
      <c r="N12" s="57"/>
      <c r="O12" s="25"/>
      <c r="P12" s="25"/>
      <c r="Q12" s="25"/>
    </row>
    <row r="13" spans="1:17" s="23" customFormat="1" ht="20.25" hidden="1" customHeight="1">
      <c r="A13" s="25">
        <v>7</v>
      </c>
      <c r="B13" s="45" t="s">
        <v>369</v>
      </c>
      <c r="C13" s="45" t="s">
        <v>372</v>
      </c>
      <c r="D13" s="45">
        <v>12</v>
      </c>
      <c r="E13" s="45">
        <v>70</v>
      </c>
      <c r="F13" s="45">
        <v>1.75</v>
      </c>
      <c r="G13" s="45">
        <v>18</v>
      </c>
      <c r="H13" s="57" t="s">
        <v>214</v>
      </c>
      <c r="I13" s="47" t="s">
        <v>166</v>
      </c>
      <c r="J13" s="69" t="s">
        <v>363</v>
      </c>
      <c r="K13" s="16">
        <v>1500</v>
      </c>
      <c r="L13" s="57">
        <f>K13*0.071</f>
        <v>106.49999999999999</v>
      </c>
      <c r="M13" s="57"/>
      <c r="N13" s="57"/>
      <c r="O13" s="25"/>
      <c r="P13" s="25"/>
      <c r="Q13" s="25"/>
    </row>
    <row r="14" spans="1:17" s="23" customFormat="1" ht="20.25" hidden="1" customHeight="1">
      <c r="A14" s="25">
        <v>8</v>
      </c>
      <c r="B14" s="45" t="s">
        <v>370</v>
      </c>
      <c r="C14" s="45" t="s">
        <v>371</v>
      </c>
      <c r="D14" s="45">
        <v>12</v>
      </c>
      <c r="E14" s="45">
        <v>110</v>
      </c>
      <c r="F14" s="45">
        <v>1.75</v>
      </c>
      <c r="G14" s="45">
        <v>18</v>
      </c>
      <c r="H14" s="57" t="s">
        <v>214</v>
      </c>
      <c r="I14" s="47" t="s">
        <v>166</v>
      </c>
      <c r="J14" s="69" t="s">
        <v>363</v>
      </c>
      <c r="K14" s="16">
        <v>500</v>
      </c>
      <c r="L14" s="57">
        <f>K14*0.11</f>
        <v>55</v>
      </c>
      <c r="M14" s="57"/>
      <c r="N14" s="57"/>
      <c r="O14" s="25"/>
      <c r="P14" s="25"/>
      <c r="Q14" s="25"/>
    </row>
    <row r="15" spans="1:17" s="23" customFormat="1" ht="20.25" customHeight="1">
      <c r="A15" s="25">
        <v>9</v>
      </c>
      <c r="B15" s="45" t="s">
        <v>366</v>
      </c>
      <c r="C15" s="45" t="s">
        <v>367</v>
      </c>
      <c r="D15" s="45">
        <v>12</v>
      </c>
      <c r="E15" s="45">
        <v>30</v>
      </c>
      <c r="F15" s="45">
        <v>1.75</v>
      </c>
      <c r="G15" s="45">
        <v>18</v>
      </c>
      <c r="H15" s="16" t="s">
        <v>210</v>
      </c>
      <c r="I15" s="47" t="s">
        <v>166</v>
      </c>
      <c r="J15" s="69" t="s">
        <v>363</v>
      </c>
      <c r="K15" s="16">
        <v>8000</v>
      </c>
      <c r="L15" s="57">
        <f>K15*0.037</f>
        <v>296</v>
      </c>
      <c r="M15" s="57"/>
      <c r="N15" s="57"/>
      <c r="O15" s="25"/>
      <c r="P15" s="25"/>
      <c r="Q15" s="25"/>
    </row>
    <row r="16" spans="1:17" s="23" customFormat="1" ht="20.25" customHeight="1">
      <c r="A16" s="25">
        <v>10</v>
      </c>
      <c r="B16" s="45" t="s">
        <v>282</v>
      </c>
      <c r="C16" s="45" t="s">
        <v>368</v>
      </c>
      <c r="D16" s="45">
        <v>12</v>
      </c>
      <c r="E16" s="45">
        <v>50</v>
      </c>
      <c r="F16" s="45">
        <v>1.75</v>
      </c>
      <c r="G16" s="45">
        <v>18</v>
      </c>
      <c r="H16" s="16" t="s">
        <v>210</v>
      </c>
      <c r="I16" s="47" t="s">
        <v>166</v>
      </c>
      <c r="J16" s="69" t="s">
        <v>363</v>
      </c>
      <c r="K16" s="16">
        <v>21000</v>
      </c>
      <c r="L16" s="57">
        <f>K16*0.051</f>
        <v>1071</v>
      </c>
      <c r="M16" s="57"/>
      <c r="N16" s="57"/>
      <c r="O16" s="25"/>
      <c r="P16" s="25"/>
      <c r="Q16" s="25"/>
    </row>
    <row r="17" spans="1:17" s="23" customFormat="1" ht="20.25" customHeight="1">
      <c r="A17" s="25">
        <v>11</v>
      </c>
      <c r="B17" s="45" t="s">
        <v>420</v>
      </c>
      <c r="C17" s="16" t="s">
        <v>374</v>
      </c>
      <c r="D17" s="45">
        <v>12</v>
      </c>
      <c r="E17" s="45">
        <v>40</v>
      </c>
      <c r="F17" s="45">
        <v>1.75</v>
      </c>
      <c r="G17" s="45">
        <v>18</v>
      </c>
      <c r="H17" s="16" t="s">
        <v>210</v>
      </c>
      <c r="I17" s="47" t="s">
        <v>166</v>
      </c>
      <c r="J17" s="69" t="s">
        <v>363</v>
      </c>
      <c r="K17" s="16">
        <v>3000</v>
      </c>
      <c r="L17" s="57">
        <f t="shared" ref="L17:L18" si="0">K17*0.044</f>
        <v>132</v>
      </c>
      <c r="M17" s="57"/>
      <c r="N17" s="57"/>
      <c r="O17" s="25"/>
      <c r="P17" s="25"/>
      <c r="Q17" s="25"/>
    </row>
    <row r="18" spans="1:17" s="23" customFormat="1" ht="20.25" customHeight="1">
      <c r="A18" s="25">
        <v>12</v>
      </c>
      <c r="B18" s="45" t="s">
        <v>421</v>
      </c>
      <c r="C18" s="16" t="s">
        <v>422</v>
      </c>
      <c r="D18" s="45">
        <v>12</v>
      </c>
      <c r="E18" s="45">
        <v>55</v>
      </c>
      <c r="F18" s="45">
        <v>1.75</v>
      </c>
      <c r="G18" s="45">
        <v>18</v>
      </c>
      <c r="H18" s="16" t="s">
        <v>210</v>
      </c>
      <c r="I18" s="47" t="s">
        <v>166</v>
      </c>
      <c r="J18" s="69" t="s">
        <v>363</v>
      </c>
      <c r="K18" s="16">
        <v>1200</v>
      </c>
      <c r="L18" s="57">
        <f t="shared" si="0"/>
        <v>52.8</v>
      </c>
      <c r="M18" s="57"/>
      <c r="N18" s="57"/>
      <c r="O18" s="25"/>
      <c r="P18" s="25"/>
      <c r="Q18" s="25"/>
    </row>
    <row r="19" spans="1:17" s="23" customFormat="1" ht="20.25" hidden="1" customHeight="1">
      <c r="A19" s="25">
        <v>11</v>
      </c>
      <c r="B19" s="45" t="s">
        <v>373</v>
      </c>
      <c r="C19" s="16" t="s">
        <v>374</v>
      </c>
      <c r="D19" s="45">
        <v>12</v>
      </c>
      <c r="E19" s="45">
        <v>40</v>
      </c>
      <c r="F19" s="45">
        <v>1.75</v>
      </c>
      <c r="G19" s="45">
        <v>18</v>
      </c>
      <c r="H19" s="16" t="s">
        <v>214</v>
      </c>
      <c r="I19" s="47" t="s">
        <v>166</v>
      </c>
      <c r="J19" s="69" t="s">
        <v>363</v>
      </c>
      <c r="K19" s="16">
        <v>4000</v>
      </c>
      <c r="L19" s="57">
        <f>K19*0.044</f>
        <v>176</v>
      </c>
      <c r="M19" s="57"/>
      <c r="N19" s="57"/>
      <c r="O19" s="25"/>
      <c r="P19" s="25"/>
      <c r="Q19" s="25"/>
    </row>
    <row r="20" spans="1:17" s="23" customFormat="1" ht="20.25" hidden="1" customHeight="1">
      <c r="A20" s="25">
        <v>12</v>
      </c>
      <c r="B20" s="45" t="s">
        <v>375</v>
      </c>
      <c r="C20" s="16" t="s">
        <v>380</v>
      </c>
      <c r="D20" s="16">
        <v>12</v>
      </c>
      <c r="E20" s="16">
        <v>30</v>
      </c>
      <c r="F20" s="16">
        <v>1.5</v>
      </c>
      <c r="G20" s="16">
        <v>19</v>
      </c>
      <c r="H20" s="16" t="s">
        <v>214</v>
      </c>
      <c r="I20" s="47" t="s">
        <v>166</v>
      </c>
      <c r="J20" s="69" t="s">
        <v>363</v>
      </c>
      <c r="K20" s="16">
        <v>4000</v>
      </c>
      <c r="L20" s="57">
        <f>K20*0.037</f>
        <v>148</v>
      </c>
      <c r="M20" s="57"/>
      <c r="N20" s="57"/>
      <c r="O20" s="25"/>
      <c r="P20" s="25"/>
      <c r="Q20" s="25"/>
    </row>
    <row r="21" spans="1:17" s="23" customFormat="1" ht="20.25" hidden="1" customHeight="1">
      <c r="A21" s="25">
        <v>13</v>
      </c>
      <c r="B21" s="45" t="s">
        <v>376</v>
      </c>
      <c r="C21" s="16" t="s">
        <v>381</v>
      </c>
      <c r="D21" s="16">
        <v>12</v>
      </c>
      <c r="E21" s="16">
        <v>35</v>
      </c>
      <c r="F21" s="16">
        <v>1.5</v>
      </c>
      <c r="G21" s="16">
        <v>19</v>
      </c>
      <c r="H21" s="16" t="s">
        <v>214</v>
      </c>
      <c r="I21" s="47" t="s">
        <v>166</v>
      </c>
      <c r="J21" s="69" t="s">
        <v>363</v>
      </c>
      <c r="K21" s="16">
        <v>6000</v>
      </c>
      <c r="L21" s="57">
        <f>K21*0.042</f>
        <v>252.00000000000003</v>
      </c>
      <c r="M21" s="57"/>
      <c r="N21" s="57"/>
      <c r="O21" s="25"/>
      <c r="P21" s="25"/>
      <c r="Q21" s="25"/>
    </row>
    <row r="22" spans="1:17" s="23" customFormat="1" ht="20.25" hidden="1" customHeight="1">
      <c r="A22" s="25">
        <v>14</v>
      </c>
      <c r="B22" s="45" t="s">
        <v>377</v>
      </c>
      <c r="C22" s="16" t="s">
        <v>382</v>
      </c>
      <c r="D22" s="16">
        <v>12</v>
      </c>
      <c r="E22" s="16">
        <v>45</v>
      </c>
      <c r="F22" s="16">
        <v>1.5</v>
      </c>
      <c r="G22" s="16">
        <v>19</v>
      </c>
      <c r="H22" s="16" t="s">
        <v>214</v>
      </c>
      <c r="I22" s="47" t="s">
        <v>166</v>
      </c>
      <c r="J22" s="69" t="s">
        <v>363</v>
      </c>
      <c r="K22" s="16">
        <v>2000</v>
      </c>
      <c r="L22" s="57">
        <f>K22*0.048</f>
        <v>96</v>
      </c>
      <c r="M22" s="57"/>
      <c r="N22" s="57"/>
      <c r="O22" s="25"/>
      <c r="P22" s="25"/>
      <c r="Q22" s="25"/>
    </row>
    <row r="23" spans="1:17" s="23" customFormat="1" ht="20.25" hidden="1" customHeight="1">
      <c r="A23" s="25">
        <v>15</v>
      </c>
      <c r="B23" s="45" t="s">
        <v>378</v>
      </c>
      <c r="C23" s="16" t="s">
        <v>383</v>
      </c>
      <c r="D23" s="45">
        <v>12</v>
      </c>
      <c r="E23" s="45">
        <v>45</v>
      </c>
      <c r="F23" s="45">
        <v>1.75</v>
      </c>
      <c r="G23" s="45">
        <v>19</v>
      </c>
      <c r="H23" s="16" t="s">
        <v>214</v>
      </c>
      <c r="I23" s="47" t="s">
        <v>166</v>
      </c>
      <c r="J23" s="69" t="s">
        <v>363</v>
      </c>
      <c r="K23" s="16">
        <v>2000</v>
      </c>
      <c r="L23" s="57">
        <f>K23*0.05</f>
        <v>100</v>
      </c>
      <c r="M23" s="57"/>
      <c r="N23" s="57"/>
      <c r="O23" s="25"/>
      <c r="P23" s="25"/>
      <c r="Q23" s="25"/>
    </row>
    <row r="24" spans="1:17" s="23" customFormat="1" ht="20.25" hidden="1" customHeight="1">
      <c r="A24" s="25">
        <v>16</v>
      </c>
      <c r="B24" s="45" t="s">
        <v>379</v>
      </c>
      <c r="C24" s="16" t="s">
        <v>384</v>
      </c>
      <c r="D24" s="45">
        <v>12</v>
      </c>
      <c r="E24" s="16">
        <v>50</v>
      </c>
      <c r="F24" s="45">
        <v>1.75</v>
      </c>
      <c r="G24" s="45">
        <v>19</v>
      </c>
      <c r="H24" s="16" t="s">
        <v>214</v>
      </c>
      <c r="I24" s="47" t="s">
        <v>166</v>
      </c>
      <c r="J24" s="69" t="s">
        <v>363</v>
      </c>
      <c r="K24" s="16">
        <v>2000</v>
      </c>
      <c r="L24" s="57">
        <f>K24*0.052</f>
        <v>104</v>
      </c>
      <c r="M24" s="57"/>
      <c r="N24" s="57"/>
      <c r="O24" s="25"/>
      <c r="P24" s="25"/>
      <c r="Q24" s="25"/>
    </row>
    <row r="25" spans="1:17" s="23" customFormat="1" ht="20.25" hidden="1" customHeight="1">
      <c r="A25" s="25">
        <v>17</v>
      </c>
      <c r="B25" s="45" t="s">
        <v>153</v>
      </c>
      <c r="C25" s="16" t="s">
        <v>429</v>
      </c>
      <c r="D25" s="16">
        <v>14</v>
      </c>
      <c r="E25" s="16">
        <v>35</v>
      </c>
      <c r="F25" s="16">
        <v>1.5</v>
      </c>
      <c r="G25" s="16">
        <v>22</v>
      </c>
      <c r="H25" s="16" t="s">
        <v>214</v>
      </c>
      <c r="I25" s="47" t="s">
        <v>166</v>
      </c>
      <c r="J25" s="69" t="s">
        <v>156</v>
      </c>
      <c r="K25" s="16">
        <v>5000</v>
      </c>
      <c r="L25" s="57">
        <v>323.5</v>
      </c>
      <c r="M25" s="57"/>
      <c r="N25" s="57"/>
      <c r="O25" s="25"/>
      <c r="P25" s="25"/>
      <c r="Q25" s="25"/>
    </row>
    <row r="26" spans="1:17" s="23" customFormat="1" ht="20.25" hidden="1" customHeight="1">
      <c r="A26" s="25">
        <v>18</v>
      </c>
      <c r="B26" s="45" t="s">
        <v>157</v>
      </c>
      <c r="C26" s="16" t="s">
        <v>430</v>
      </c>
      <c r="D26" s="16">
        <v>14</v>
      </c>
      <c r="E26" s="16">
        <v>40</v>
      </c>
      <c r="F26" s="16">
        <v>1.5</v>
      </c>
      <c r="G26" s="16">
        <v>22</v>
      </c>
      <c r="H26" s="16" t="s">
        <v>214</v>
      </c>
      <c r="I26" s="47" t="s">
        <v>166</v>
      </c>
      <c r="J26" s="69" t="s">
        <v>156</v>
      </c>
      <c r="K26" s="16">
        <v>20000</v>
      </c>
      <c r="L26" s="57">
        <v>1384</v>
      </c>
      <c r="M26" s="57"/>
      <c r="N26" s="57"/>
      <c r="O26" s="25"/>
      <c r="P26" s="25"/>
      <c r="Q26" s="25"/>
    </row>
    <row r="27" spans="1:17" s="23" customFormat="1" ht="20.25" hidden="1" customHeight="1">
      <c r="A27" s="25">
        <v>19</v>
      </c>
      <c r="B27" s="45" t="s">
        <v>423</v>
      </c>
      <c r="C27" s="16" t="s">
        <v>431</v>
      </c>
      <c r="D27" s="16">
        <v>14</v>
      </c>
      <c r="E27" s="16">
        <v>45</v>
      </c>
      <c r="F27" s="16">
        <v>1.5</v>
      </c>
      <c r="G27" s="16">
        <v>22</v>
      </c>
      <c r="H27" s="16" t="s">
        <v>214</v>
      </c>
      <c r="I27" s="47" t="s">
        <v>166</v>
      </c>
      <c r="J27" s="69" t="s">
        <v>156</v>
      </c>
      <c r="K27" s="16">
        <v>3000</v>
      </c>
      <c r="L27" s="57">
        <v>224.4</v>
      </c>
      <c r="M27" s="57"/>
      <c r="N27" s="57"/>
      <c r="O27" s="25"/>
      <c r="P27" s="25"/>
      <c r="Q27" s="25"/>
    </row>
    <row r="28" spans="1:17" s="23" customFormat="1" ht="20.25" hidden="1" customHeight="1">
      <c r="A28" s="25">
        <v>20</v>
      </c>
      <c r="B28" s="45" t="s">
        <v>424</v>
      </c>
      <c r="C28" s="16" t="s">
        <v>432</v>
      </c>
      <c r="D28" s="16">
        <v>14</v>
      </c>
      <c r="E28" s="16">
        <v>50</v>
      </c>
      <c r="F28" s="16">
        <v>1.5</v>
      </c>
      <c r="G28" s="16">
        <v>22</v>
      </c>
      <c r="H28" s="16" t="s">
        <v>214</v>
      </c>
      <c r="I28" s="47" t="s">
        <v>166</v>
      </c>
      <c r="J28" s="69" t="s">
        <v>156</v>
      </c>
      <c r="K28" s="16">
        <v>3000</v>
      </c>
      <c r="L28" s="57">
        <v>239.4</v>
      </c>
      <c r="M28" s="57"/>
      <c r="N28" s="57"/>
      <c r="O28" s="25"/>
      <c r="P28" s="25"/>
      <c r="Q28" s="25"/>
    </row>
    <row r="29" spans="1:17" s="23" customFormat="1" ht="20.25" hidden="1" customHeight="1">
      <c r="A29" s="25">
        <v>21</v>
      </c>
      <c r="B29" s="45" t="s">
        <v>170</v>
      </c>
      <c r="C29" s="16" t="s">
        <v>433</v>
      </c>
      <c r="D29" s="16">
        <v>14</v>
      </c>
      <c r="E29" s="16">
        <v>60</v>
      </c>
      <c r="F29" s="16">
        <v>1.5</v>
      </c>
      <c r="G29" s="16">
        <v>22</v>
      </c>
      <c r="H29" s="16" t="s">
        <v>214</v>
      </c>
      <c r="I29" s="47" t="s">
        <v>166</v>
      </c>
      <c r="J29" s="69" t="s">
        <v>156</v>
      </c>
      <c r="K29" s="16">
        <v>3500</v>
      </c>
      <c r="L29" s="57">
        <v>319.2</v>
      </c>
      <c r="M29" s="57"/>
      <c r="N29" s="57"/>
      <c r="O29" s="25"/>
      <c r="P29" s="25"/>
      <c r="Q29" s="25"/>
    </row>
    <row r="30" spans="1:17" s="23" customFormat="1" ht="20.25" hidden="1" customHeight="1">
      <c r="A30" s="25">
        <v>22</v>
      </c>
      <c r="B30" s="45" t="s">
        <v>159</v>
      </c>
      <c r="C30" s="16" t="s">
        <v>434</v>
      </c>
      <c r="D30" s="16">
        <v>14</v>
      </c>
      <c r="E30" s="16">
        <v>65</v>
      </c>
      <c r="F30" s="16">
        <v>1.5</v>
      </c>
      <c r="G30" s="16">
        <v>22</v>
      </c>
      <c r="H30" s="16" t="s">
        <v>214</v>
      </c>
      <c r="I30" s="47" t="s">
        <v>166</v>
      </c>
      <c r="J30" s="69" t="s">
        <v>156</v>
      </c>
      <c r="K30" s="16">
        <v>3000</v>
      </c>
      <c r="L30" s="57">
        <v>292.8</v>
      </c>
      <c r="M30" s="57"/>
      <c r="N30" s="57"/>
      <c r="O30" s="25"/>
      <c r="P30" s="25"/>
      <c r="Q30" s="25"/>
    </row>
    <row r="31" spans="1:17" s="23" customFormat="1" ht="20.25" hidden="1" customHeight="1">
      <c r="A31" s="25">
        <v>23</v>
      </c>
      <c r="B31" s="45" t="s">
        <v>425</v>
      </c>
      <c r="C31" s="16" t="s">
        <v>435</v>
      </c>
      <c r="D31" s="16">
        <v>14</v>
      </c>
      <c r="E31" s="16">
        <v>70</v>
      </c>
      <c r="F31" s="16">
        <v>1.5</v>
      </c>
      <c r="G31" s="16">
        <v>22</v>
      </c>
      <c r="H31" s="16" t="s">
        <v>214</v>
      </c>
      <c r="I31" s="47" t="s">
        <v>166</v>
      </c>
      <c r="J31" s="69" t="s">
        <v>156</v>
      </c>
      <c r="K31" s="16">
        <v>2000</v>
      </c>
      <c r="L31" s="57">
        <v>206.8</v>
      </c>
      <c r="M31" s="57"/>
      <c r="N31" s="57"/>
      <c r="O31" s="25"/>
      <c r="P31" s="25"/>
      <c r="Q31" s="25"/>
    </row>
    <row r="32" spans="1:17" s="23" customFormat="1" ht="20.25" hidden="1" customHeight="1">
      <c r="A32" s="25">
        <v>24</v>
      </c>
      <c r="B32" s="45" t="s">
        <v>160</v>
      </c>
      <c r="C32" s="16" t="s">
        <v>436</v>
      </c>
      <c r="D32" s="16">
        <v>14</v>
      </c>
      <c r="E32" s="16">
        <v>75</v>
      </c>
      <c r="F32" s="16">
        <v>1.5</v>
      </c>
      <c r="G32" s="16">
        <v>22</v>
      </c>
      <c r="H32" s="16" t="s">
        <v>214</v>
      </c>
      <c r="I32" s="47" t="s">
        <v>166</v>
      </c>
      <c r="J32" s="69" t="s">
        <v>156</v>
      </c>
      <c r="K32" s="16">
        <v>3000</v>
      </c>
      <c r="L32" s="57">
        <v>327.60000000000002</v>
      </c>
      <c r="M32" s="57"/>
      <c r="N32" s="57"/>
      <c r="O32" s="25"/>
      <c r="P32" s="25"/>
      <c r="Q32" s="25"/>
    </row>
    <row r="33" spans="1:17" s="23" customFormat="1" ht="20.25" hidden="1" customHeight="1">
      <c r="A33" s="25">
        <v>25</v>
      </c>
      <c r="B33" s="45" t="s">
        <v>426</v>
      </c>
      <c r="C33" s="16" t="s">
        <v>437</v>
      </c>
      <c r="D33" s="16">
        <v>14</v>
      </c>
      <c r="E33" s="16">
        <v>50</v>
      </c>
      <c r="F33" s="16">
        <v>2</v>
      </c>
      <c r="G33" s="16">
        <v>22</v>
      </c>
      <c r="H33" s="16" t="s">
        <v>214</v>
      </c>
      <c r="I33" s="47" t="s">
        <v>166</v>
      </c>
      <c r="J33" s="69" t="s">
        <v>156</v>
      </c>
      <c r="K33" s="16">
        <v>2000</v>
      </c>
      <c r="L33" s="57">
        <v>159.6</v>
      </c>
      <c r="M33" s="57"/>
      <c r="N33" s="57"/>
      <c r="O33" s="25"/>
      <c r="P33" s="25"/>
      <c r="Q33" s="25"/>
    </row>
    <row r="34" spans="1:17" s="23" customFormat="1" ht="20.25" hidden="1" customHeight="1">
      <c r="A34" s="25">
        <v>26</v>
      </c>
      <c r="B34" s="45" t="s">
        <v>427</v>
      </c>
      <c r="C34" s="16" t="s">
        <v>438</v>
      </c>
      <c r="D34" s="16">
        <v>14</v>
      </c>
      <c r="E34" s="16">
        <v>60</v>
      </c>
      <c r="F34" s="16">
        <v>2</v>
      </c>
      <c r="G34" s="16">
        <v>22</v>
      </c>
      <c r="H34" s="16" t="s">
        <v>214</v>
      </c>
      <c r="I34" s="47" t="s">
        <v>166</v>
      </c>
      <c r="J34" s="69" t="s">
        <v>156</v>
      </c>
      <c r="K34" s="16">
        <v>2000</v>
      </c>
      <c r="L34" s="57">
        <v>178</v>
      </c>
      <c r="M34" s="57"/>
      <c r="N34" s="57"/>
      <c r="O34" s="25"/>
      <c r="P34" s="25"/>
      <c r="Q34" s="25"/>
    </row>
    <row r="35" spans="1:17" s="23" customFormat="1" ht="20.25" hidden="1" customHeight="1">
      <c r="A35" s="25">
        <v>27</v>
      </c>
      <c r="B35" s="45" t="s">
        <v>428</v>
      </c>
      <c r="C35" s="16" t="s">
        <v>439</v>
      </c>
      <c r="D35" s="16">
        <v>14</v>
      </c>
      <c r="E35" s="16">
        <v>65</v>
      </c>
      <c r="F35" s="16">
        <v>2</v>
      </c>
      <c r="G35" s="16">
        <v>22</v>
      </c>
      <c r="H35" s="16" t="s">
        <v>214</v>
      </c>
      <c r="I35" s="47" t="s">
        <v>166</v>
      </c>
      <c r="J35" s="69" t="s">
        <v>156</v>
      </c>
      <c r="K35" s="16">
        <v>1200</v>
      </c>
      <c r="L35" s="57">
        <v>114.24</v>
      </c>
      <c r="M35" s="57"/>
      <c r="N35" s="57"/>
      <c r="O35" s="25"/>
      <c r="P35" s="25"/>
      <c r="Q35" s="25"/>
    </row>
    <row r="36" spans="1:17" s="23" customFormat="1" ht="20.25" hidden="1" customHeight="1">
      <c r="A36" s="25">
        <v>28</v>
      </c>
      <c r="B36" s="13" t="s">
        <v>440</v>
      </c>
      <c r="C36" s="16" t="s">
        <v>447</v>
      </c>
      <c r="D36" s="16">
        <v>14</v>
      </c>
      <c r="E36" s="16">
        <v>25</v>
      </c>
      <c r="F36" s="16">
        <v>2</v>
      </c>
      <c r="G36" s="16">
        <v>21</v>
      </c>
      <c r="H36" s="16" t="s">
        <v>214</v>
      </c>
      <c r="I36" s="47" t="s">
        <v>166</v>
      </c>
      <c r="J36" s="16" t="s">
        <v>156</v>
      </c>
      <c r="K36" s="16">
        <v>1000</v>
      </c>
      <c r="L36" s="57">
        <v>25</v>
      </c>
      <c r="M36" s="57"/>
      <c r="N36" s="57"/>
      <c r="O36" s="25"/>
      <c r="P36" s="25"/>
      <c r="Q36" s="25"/>
    </row>
    <row r="37" spans="1:17" s="23" customFormat="1" ht="20.25" hidden="1" customHeight="1">
      <c r="A37" s="25">
        <v>29</v>
      </c>
      <c r="B37" s="13" t="s">
        <v>441</v>
      </c>
      <c r="C37" s="16" t="s">
        <v>448</v>
      </c>
      <c r="D37" s="16">
        <v>14</v>
      </c>
      <c r="E37" s="16">
        <v>40</v>
      </c>
      <c r="F37" s="16">
        <v>2</v>
      </c>
      <c r="G37" s="16">
        <v>21</v>
      </c>
      <c r="H37" s="16" t="s">
        <v>214</v>
      </c>
      <c r="I37" s="47" t="s">
        <v>166</v>
      </c>
      <c r="J37" s="16" t="s">
        <v>156</v>
      </c>
      <c r="K37" s="16">
        <v>2000</v>
      </c>
      <c r="L37" s="57">
        <v>600</v>
      </c>
      <c r="M37" s="57"/>
      <c r="N37" s="57"/>
      <c r="O37" s="25"/>
      <c r="P37" s="25"/>
      <c r="Q37" s="25"/>
    </row>
    <row r="38" spans="1:17" s="23" customFormat="1" ht="20.25" hidden="1" customHeight="1">
      <c r="A38" s="25">
        <v>30</v>
      </c>
      <c r="B38" s="13" t="s">
        <v>442</v>
      </c>
      <c r="C38" s="16" t="s">
        <v>454</v>
      </c>
      <c r="D38" s="16">
        <v>14</v>
      </c>
      <c r="E38" s="16">
        <v>110</v>
      </c>
      <c r="F38" s="16">
        <v>2</v>
      </c>
      <c r="G38" s="16">
        <v>21</v>
      </c>
      <c r="H38" s="16" t="s">
        <v>214</v>
      </c>
      <c r="I38" s="47" t="s">
        <v>166</v>
      </c>
      <c r="J38" s="16" t="s">
        <v>156</v>
      </c>
      <c r="K38" s="16">
        <v>200</v>
      </c>
      <c r="L38" s="57">
        <f>K38*0.147</f>
        <v>29.4</v>
      </c>
      <c r="M38" s="57"/>
      <c r="N38" s="57"/>
      <c r="O38" s="25"/>
      <c r="P38" s="25"/>
      <c r="Q38" s="25"/>
    </row>
    <row r="39" spans="1:17" s="23" customFormat="1" ht="20.25" hidden="1" customHeight="1">
      <c r="A39" s="25">
        <v>31</v>
      </c>
      <c r="B39" s="13" t="s">
        <v>443</v>
      </c>
      <c r="C39" s="16" t="s">
        <v>458</v>
      </c>
      <c r="D39" s="16">
        <v>14</v>
      </c>
      <c r="E39" s="16">
        <v>40</v>
      </c>
      <c r="F39" s="16">
        <v>1.5</v>
      </c>
      <c r="G39" s="16">
        <v>21</v>
      </c>
      <c r="H39" s="16" t="s">
        <v>214</v>
      </c>
      <c r="I39" s="47" t="s">
        <v>166</v>
      </c>
      <c r="J39" s="16" t="s">
        <v>156</v>
      </c>
      <c r="K39" s="16">
        <v>5000</v>
      </c>
      <c r="L39" s="57">
        <f>K39*0.069</f>
        <v>345.00000000000006</v>
      </c>
      <c r="M39" s="57"/>
      <c r="N39" s="57"/>
      <c r="O39" s="25"/>
      <c r="P39" s="25"/>
      <c r="Q39" s="25"/>
    </row>
    <row r="40" spans="1:17" s="23" customFormat="1" ht="20.25" hidden="1" customHeight="1">
      <c r="A40" s="25">
        <v>32</v>
      </c>
      <c r="B40" s="13" t="s">
        <v>444</v>
      </c>
      <c r="C40" s="16" t="s">
        <v>455</v>
      </c>
      <c r="D40" s="16">
        <v>14</v>
      </c>
      <c r="E40" s="16">
        <v>55</v>
      </c>
      <c r="F40" s="16">
        <v>2</v>
      </c>
      <c r="G40" s="16"/>
      <c r="H40" s="16" t="s">
        <v>250</v>
      </c>
      <c r="I40" s="47" t="s">
        <v>166</v>
      </c>
      <c r="J40" s="16">
        <v>4140</v>
      </c>
      <c r="K40" s="16">
        <v>700</v>
      </c>
      <c r="L40" s="57">
        <f>K40*0.082</f>
        <v>57.400000000000006</v>
      </c>
      <c r="M40" s="57"/>
      <c r="N40" s="57"/>
      <c r="O40" s="25"/>
      <c r="P40" s="25"/>
      <c r="Q40" s="25"/>
    </row>
    <row r="41" spans="1:17" s="23" customFormat="1" ht="20.25" hidden="1" customHeight="1">
      <c r="A41" s="25">
        <v>33</v>
      </c>
      <c r="B41" s="13" t="s">
        <v>445</v>
      </c>
      <c r="C41" s="16" t="s">
        <v>456</v>
      </c>
      <c r="D41" s="16">
        <v>14</v>
      </c>
      <c r="E41" s="16">
        <v>35</v>
      </c>
      <c r="F41" s="16">
        <v>2</v>
      </c>
      <c r="G41" s="16"/>
      <c r="H41" s="16" t="s">
        <v>250</v>
      </c>
      <c r="I41" s="47" t="s">
        <v>166</v>
      </c>
      <c r="J41" s="16">
        <v>4140</v>
      </c>
      <c r="K41" s="16">
        <v>2000</v>
      </c>
      <c r="L41" s="57">
        <f>K41*0.063</f>
        <v>126</v>
      </c>
      <c r="M41" s="57"/>
      <c r="N41" s="57"/>
      <c r="O41" s="25"/>
      <c r="P41" s="25"/>
      <c r="Q41" s="25"/>
    </row>
    <row r="42" spans="1:17" s="23" customFormat="1" ht="20.25" hidden="1" customHeight="1">
      <c r="A42" s="25">
        <v>34</v>
      </c>
      <c r="B42" s="13" t="s">
        <v>446</v>
      </c>
      <c r="C42" s="16" t="s">
        <v>457</v>
      </c>
      <c r="D42" s="16">
        <v>14</v>
      </c>
      <c r="E42" s="16">
        <v>100</v>
      </c>
      <c r="F42" s="16">
        <v>2</v>
      </c>
      <c r="G42" s="16"/>
      <c r="H42" s="16" t="s">
        <v>250</v>
      </c>
      <c r="I42" s="47" t="s">
        <v>166</v>
      </c>
      <c r="J42" s="16">
        <v>4140</v>
      </c>
      <c r="K42" s="16">
        <v>200</v>
      </c>
      <c r="L42" s="57">
        <f>K42*0.127</f>
        <v>25.4</v>
      </c>
      <c r="M42" s="57"/>
      <c r="N42" s="57"/>
      <c r="O42" s="25"/>
      <c r="P42" s="25"/>
      <c r="Q42" s="25"/>
    </row>
    <row r="43" spans="1:17" s="23" customFormat="1" ht="20.25" hidden="1" customHeight="1">
      <c r="A43" s="25">
        <v>35</v>
      </c>
      <c r="B43" s="13" t="s">
        <v>459</v>
      </c>
      <c r="C43" s="16" t="s">
        <v>467</v>
      </c>
      <c r="D43" s="16">
        <v>12</v>
      </c>
      <c r="E43" s="45">
        <v>20</v>
      </c>
      <c r="F43" s="45">
        <v>1.75</v>
      </c>
      <c r="G43" s="16">
        <v>19</v>
      </c>
      <c r="H43" s="16" t="s">
        <v>214</v>
      </c>
      <c r="I43" s="47" t="s">
        <v>166</v>
      </c>
      <c r="J43" s="16" t="s">
        <v>363</v>
      </c>
      <c r="K43" s="42">
        <v>1200</v>
      </c>
      <c r="L43" s="57">
        <v>28.56</v>
      </c>
      <c r="M43" s="57"/>
      <c r="N43" s="57"/>
      <c r="O43" s="25"/>
      <c r="P43" s="25"/>
      <c r="Q43" s="25"/>
    </row>
    <row r="44" spans="1:17" s="23" customFormat="1" ht="20.25" hidden="1" customHeight="1">
      <c r="A44" s="25">
        <v>36</v>
      </c>
      <c r="B44" s="45" t="s">
        <v>378</v>
      </c>
      <c r="C44" s="16" t="s">
        <v>467</v>
      </c>
      <c r="D44" s="16">
        <v>12</v>
      </c>
      <c r="E44" s="45">
        <v>45</v>
      </c>
      <c r="F44" s="45">
        <v>1.75</v>
      </c>
      <c r="G44" s="16">
        <v>19</v>
      </c>
      <c r="H44" s="16" t="s">
        <v>214</v>
      </c>
      <c r="I44" s="47" t="s">
        <v>166</v>
      </c>
      <c r="J44" s="16" t="s">
        <v>363</v>
      </c>
      <c r="K44" s="42">
        <v>1200</v>
      </c>
      <c r="L44" s="57">
        <v>56.891999999999996</v>
      </c>
      <c r="M44" s="57"/>
      <c r="N44" s="57"/>
      <c r="O44" s="25"/>
      <c r="P44" s="25"/>
      <c r="Q44" s="25"/>
    </row>
    <row r="45" spans="1:17" s="23" customFormat="1" ht="20.25" hidden="1" customHeight="1">
      <c r="A45" s="25">
        <v>37</v>
      </c>
      <c r="B45" s="45" t="s">
        <v>379</v>
      </c>
      <c r="C45" s="16" t="s">
        <v>467</v>
      </c>
      <c r="D45" s="16">
        <v>12</v>
      </c>
      <c r="E45" s="45">
        <v>50</v>
      </c>
      <c r="F45" s="45">
        <v>1.75</v>
      </c>
      <c r="G45" s="16">
        <v>19</v>
      </c>
      <c r="H45" s="16" t="s">
        <v>214</v>
      </c>
      <c r="I45" s="47" t="s">
        <v>166</v>
      </c>
      <c r="J45" s="16" t="s">
        <v>363</v>
      </c>
      <c r="K45" s="42">
        <v>2000</v>
      </c>
      <c r="L45" s="57">
        <v>100.82</v>
      </c>
      <c r="M45" s="57"/>
      <c r="N45" s="57"/>
      <c r="O45" s="25"/>
      <c r="P45" s="25"/>
      <c r="Q45" s="25"/>
    </row>
    <row r="46" spans="1:17" s="23" customFormat="1" ht="20.25" hidden="1" customHeight="1">
      <c r="A46" s="25">
        <v>38</v>
      </c>
      <c r="B46" s="45" t="s">
        <v>460</v>
      </c>
      <c r="C46" s="16" t="s">
        <v>468</v>
      </c>
      <c r="D46" s="16">
        <v>12</v>
      </c>
      <c r="E46" s="45">
        <v>40</v>
      </c>
      <c r="F46" s="45">
        <v>1.75</v>
      </c>
      <c r="G46" s="16">
        <v>19</v>
      </c>
      <c r="H46" s="16" t="s">
        <v>214</v>
      </c>
      <c r="I46" s="47" t="s">
        <v>166</v>
      </c>
      <c r="J46" s="16" t="s">
        <v>363</v>
      </c>
      <c r="K46" s="42">
        <v>2000</v>
      </c>
      <c r="L46" s="57">
        <v>91.6</v>
      </c>
      <c r="M46" s="57"/>
      <c r="N46" s="57"/>
      <c r="O46" s="25"/>
      <c r="P46" s="25"/>
      <c r="Q46" s="25"/>
    </row>
    <row r="47" spans="1:17" s="23" customFormat="1" ht="20.25" hidden="1" customHeight="1">
      <c r="A47" s="25">
        <v>39</v>
      </c>
      <c r="B47" s="45" t="s">
        <v>461</v>
      </c>
      <c r="C47" s="16" t="s">
        <v>468</v>
      </c>
      <c r="D47" s="16">
        <v>12</v>
      </c>
      <c r="E47" s="45">
        <v>75</v>
      </c>
      <c r="F47" s="45">
        <v>1.75</v>
      </c>
      <c r="G47" s="16">
        <v>19</v>
      </c>
      <c r="H47" s="16" t="s">
        <v>214</v>
      </c>
      <c r="I47" s="47" t="s">
        <v>166</v>
      </c>
      <c r="J47" s="16" t="s">
        <v>363</v>
      </c>
      <c r="K47" s="42">
        <v>2000</v>
      </c>
      <c r="L47" s="57">
        <v>151</v>
      </c>
      <c r="M47" s="57"/>
      <c r="N47" s="57"/>
      <c r="O47" s="25"/>
      <c r="P47" s="25"/>
      <c r="Q47" s="25"/>
    </row>
    <row r="48" spans="1:17" s="23" customFormat="1" ht="20.25" hidden="1" customHeight="1">
      <c r="A48" s="25">
        <v>40</v>
      </c>
      <c r="B48" s="45" t="s">
        <v>462</v>
      </c>
      <c r="C48" s="16" t="s">
        <v>468</v>
      </c>
      <c r="D48" s="16">
        <v>12</v>
      </c>
      <c r="E48" s="45">
        <v>90</v>
      </c>
      <c r="F48" s="45">
        <v>1.75</v>
      </c>
      <c r="G48" s="16">
        <v>19</v>
      </c>
      <c r="H48" s="16" t="s">
        <v>214</v>
      </c>
      <c r="I48" s="47" t="s">
        <v>166</v>
      </c>
      <c r="J48" s="16" t="s">
        <v>363</v>
      </c>
      <c r="K48" s="42">
        <v>1200</v>
      </c>
      <c r="L48" s="57">
        <v>104.88</v>
      </c>
      <c r="M48" s="57"/>
      <c r="N48" s="57"/>
      <c r="O48" s="25"/>
      <c r="P48" s="25"/>
      <c r="Q48" s="25"/>
    </row>
    <row r="49" spans="1:17" s="23" customFormat="1" ht="20.25" hidden="1" customHeight="1">
      <c r="A49" s="25">
        <v>41</v>
      </c>
      <c r="B49" s="45" t="s">
        <v>375</v>
      </c>
      <c r="C49" s="16" t="s">
        <v>469</v>
      </c>
      <c r="D49" s="16">
        <v>12</v>
      </c>
      <c r="E49" s="45">
        <v>30</v>
      </c>
      <c r="F49" s="45">
        <v>1.5</v>
      </c>
      <c r="G49" s="16">
        <v>19</v>
      </c>
      <c r="H49" s="16" t="s">
        <v>214</v>
      </c>
      <c r="I49" s="47" t="s">
        <v>166</v>
      </c>
      <c r="J49" s="16" t="s">
        <v>363</v>
      </c>
      <c r="K49" s="42">
        <v>4000</v>
      </c>
      <c r="L49" s="57">
        <v>152</v>
      </c>
      <c r="M49" s="57"/>
      <c r="N49" s="57"/>
      <c r="O49" s="25"/>
      <c r="P49" s="25"/>
      <c r="Q49" s="25"/>
    </row>
    <row r="50" spans="1:17" s="23" customFormat="1" ht="20.25" hidden="1" customHeight="1">
      <c r="A50" s="25">
        <v>42</v>
      </c>
      <c r="B50" s="45" t="s">
        <v>376</v>
      </c>
      <c r="C50" s="16" t="s">
        <v>470</v>
      </c>
      <c r="D50" s="16">
        <v>12</v>
      </c>
      <c r="E50" s="45">
        <v>35</v>
      </c>
      <c r="F50" s="45">
        <v>1.5</v>
      </c>
      <c r="G50" s="16">
        <v>19</v>
      </c>
      <c r="H50" s="16" t="s">
        <v>214</v>
      </c>
      <c r="I50" s="47" t="s">
        <v>166</v>
      </c>
      <c r="J50" s="16" t="s">
        <v>363</v>
      </c>
      <c r="K50" s="42">
        <v>6000</v>
      </c>
      <c r="L50" s="57">
        <v>300</v>
      </c>
      <c r="M50" s="57"/>
      <c r="N50" s="57"/>
      <c r="O50" s="25"/>
      <c r="P50" s="25"/>
      <c r="Q50" s="25"/>
    </row>
    <row r="51" spans="1:17" s="23" customFormat="1" ht="20.25" hidden="1" customHeight="1">
      <c r="A51" s="25">
        <v>43</v>
      </c>
      <c r="B51" s="45" t="s">
        <v>377</v>
      </c>
      <c r="C51" s="16" t="s">
        <v>471</v>
      </c>
      <c r="D51" s="16">
        <v>12</v>
      </c>
      <c r="E51" s="45">
        <v>45</v>
      </c>
      <c r="F51" s="45">
        <v>1.5</v>
      </c>
      <c r="G51" s="16">
        <v>19</v>
      </c>
      <c r="H51" s="16" t="s">
        <v>214</v>
      </c>
      <c r="I51" s="47" t="s">
        <v>166</v>
      </c>
      <c r="J51" s="16" t="s">
        <v>363</v>
      </c>
      <c r="K51" s="42">
        <v>2000</v>
      </c>
      <c r="L51" s="57">
        <v>100</v>
      </c>
      <c r="M51" s="57"/>
      <c r="N51" s="57"/>
      <c r="O51" s="25"/>
      <c r="P51" s="25"/>
      <c r="Q51" s="25"/>
    </row>
    <row r="52" spans="1:17" s="23" customFormat="1" ht="20.25" hidden="1" customHeight="1">
      <c r="A52" s="25">
        <v>44</v>
      </c>
      <c r="B52" s="45" t="s">
        <v>132</v>
      </c>
      <c r="C52" s="16" t="s">
        <v>133</v>
      </c>
      <c r="D52" s="16">
        <v>12</v>
      </c>
      <c r="E52" s="45">
        <v>50</v>
      </c>
      <c r="F52" s="45">
        <v>1.5</v>
      </c>
      <c r="G52" s="16">
        <v>19</v>
      </c>
      <c r="H52" s="16" t="s">
        <v>214</v>
      </c>
      <c r="I52" s="47" t="s">
        <v>166</v>
      </c>
      <c r="J52" s="16" t="s">
        <v>363</v>
      </c>
      <c r="K52" s="42">
        <v>5000</v>
      </c>
      <c r="L52" s="57">
        <v>256</v>
      </c>
      <c r="M52" s="57"/>
      <c r="N52" s="57"/>
      <c r="O52" s="25"/>
      <c r="P52" s="25"/>
      <c r="Q52" s="25"/>
    </row>
    <row r="53" spans="1:17" s="23" customFormat="1" ht="20.25" hidden="1" customHeight="1">
      <c r="A53" s="25">
        <v>45</v>
      </c>
      <c r="B53" s="45" t="s">
        <v>128</v>
      </c>
      <c r="C53" s="16" t="s">
        <v>129</v>
      </c>
      <c r="D53" s="16">
        <v>12</v>
      </c>
      <c r="E53" s="45">
        <v>60</v>
      </c>
      <c r="F53" s="45">
        <v>1.5</v>
      </c>
      <c r="G53" s="16">
        <v>19</v>
      </c>
      <c r="H53" s="16" t="s">
        <v>214</v>
      </c>
      <c r="I53" s="47" t="s">
        <v>166</v>
      </c>
      <c r="J53" s="16" t="s">
        <v>363</v>
      </c>
      <c r="K53" s="42">
        <v>2000</v>
      </c>
      <c r="L53" s="57">
        <v>128</v>
      </c>
      <c r="M53" s="57"/>
      <c r="N53" s="57"/>
      <c r="O53" s="25"/>
      <c r="P53" s="25"/>
      <c r="Q53" s="25"/>
    </row>
    <row r="54" spans="1:17" s="23" customFormat="1" ht="20.25" hidden="1" customHeight="1">
      <c r="A54" s="25">
        <v>46</v>
      </c>
      <c r="B54" s="45" t="s">
        <v>463</v>
      </c>
      <c r="C54" s="16" t="s">
        <v>472</v>
      </c>
      <c r="D54" s="16">
        <v>12</v>
      </c>
      <c r="E54" s="45">
        <v>65</v>
      </c>
      <c r="F54" s="45">
        <v>1.5</v>
      </c>
      <c r="G54" s="16">
        <v>19</v>
      </c>
      <c r="H54" s="16" t="s">
        <v>214</v>
      </c>
      <c r="I54" s="47" t="s">
        <v>166</v>
      </c>
      <c r="J54" s="16" t="s">
        <v>363</v>
      </c>
      <c r="K54" s="42">
        <v>2000</v>
      </c>
      <c r="L54" s="57">
        <v>136</v>
      </c>
      <c r="M54" s="57"/>
      <c r="N54" s="57"/>
      <c r="O54" s="25"/>
      <c r="P54" s="25"/>
      <c r="Q54" s="25"/>
    </row>
    <row r="55" spans="1:17" s="23" customFormat="1" ht="20.25" hidden="1" customHeight="1">
      <c r="A55" s="25">
        <v>47</v>
      </c>
      <c r="B55" s="45" t="s">
        <v>464</v>
      </c>
      <c r="C55" s="16" t="s">
        <v>473</v>
      </c>
      <c r="D55" s="16">
        <v>12</v>
      </c>
      <c r="E55" s="45">
        <v>75</v>
      </c>
      <c r="F55" s="45">
        <v>1.5</v>
      </c>
      <c r="G55" s="16">
        <v>19</v>
      </c>
      <c r="H55" s="16" t="s">
        <v>214</v>
      </c>
      <c r="I55" s="47" t="s">
        <v>166</v>
      </c>
      <c r="J55" s="16" t="s">
        <v>363</v>
      </c>
      <c r="K55" s="42">
        <v>2000</v>
      </c>
      <c r="L55" s="57">
        <v>151.6</v>
      </c>
      <c r="M55" s="57"/>
      <c r="N55" s="57"/>
      <c r="O55" s="25"/>
      <c r="P55" s="25"/>
      <c r="Q55" s="25"/>
    </row>
    <row r="56" spans="1:17" s="23" customFormat="1" ht="20.25" hidden="1" customHeight="1">
      <c r="A56" s="25">
        <v>48</v>
      </c>
      <c r="B56" s="45" t="s">
        <v>465</v>
      </c>
      <c r="C56" s="16" t="s">
        <v>474</v>
      </c>
      <c r="D56" s="16">
        <v>12</v>
      </c>
      <c r="E56" s="45">
        <v>100</v>
      </c>
      <c r="F56" s="45">
        <v>1.5</v>
      </c>
      <c r="G56" s="16">
        <v>19</v>
      </c>
      <c r="H56" s="16" t="s">
        <v>214</v>
      </c>
      <c r="I56" s="47" t="s">
        <v>166</v>
      </c>
      <c r="J56" s="16" t="s">
        <v>363</v>
      </c>
      <c r="K56" s="42">
        <v>1200</v>
      </c>
      <c r="L56" s="57">
        <v>117.6</v>
      </c>
      <c r="M56" s="57"/>
      <c r="N56" s="57"/>
      <c r="O56" s="25"/>
      <c r="P56" s="25"/>
      <c r="Q56" s="25"/>
    </row>
    <row r="57" spans="1:17" s="23" customFormat="1" ht="20.25" hidden="1" customHeight="1">
      <c r="A57" s="25">
        <v>49</v>
      </c>
      <c r="B57" s="45" t="s">
        <v>466</v>
      </c>
      <c r="C57" s="16" t="s">
        <v>475</v>
      </c>
      <c r="D57" s="16">
        <v>12</v>
      </c>
      <c r="E57" s="45">
        <v>120</v>
      </c>
      <c r="F57" s="45">
        <v>1.5</v>
      </c>
      <c r="G57" s="16">
        <v>19</v>
      </c>
      <c r="H57" s="16" t="s">
        <v>214</v>
      </c>
      <c r="I57" s="47" t="s">
        <v>166</v>
      </c>
      <c r="J57" s="16" t="s">
        <v>363</v>
      </c>
      <c r="K57" s="42">
        <v>1100</v>
      </c>
      <c r="L57" s="57">
        <v>127.82</v>
      </c>
      <c r="M57" s="57"/>
      <c r="N57" s="57"/>
      <c r="O57" s="25"/>
      <c r="P57" s="25"/>
      <c r="Q57" s="25"/>
    </row>
    <row r="58" spans="1:17" s="23" customFormat="1" ht="20.25" hidden="1" customHeight="1">
      <c r="A58" s="25">
        <v>50</v>
      </c>
      <c r="B58" s="13" t="s">
        <v>476</v>
      </c>
      <c r="C58" s="16" t="s">
        <v>477</v>
      </c>
      <c r="D58" s="16">
        <v>16</v>
      </c>
      <c r="E58" s="16">
        <v>33</v>
      </c>
      <c r="F58" s="45">
        <v>1.5</v>
      </c>
      <c r="G58" s="16">
        <v>24</v>
      </c>
      <c r="H58" s="16" t="s">
        <v>284</v>
      </c>
      <c r="I58" s="47" t="s">
        <v>166</v>
      </c>
      <c r="J58" s="16" t="s">
        <v>478</v>
      </c>
      <c r="K58" s="16">
        <v>40000</v>
      </c>
      <c r="L58" s="57">
        <f>K58*0.11</f>
        <v>4400</v>
      </c>
      <c r="M58" s="57"/>
      <c r="N58" s="57"/>
      <c r="O58" s="25"/>
      <c r="P58" s="25"/>
      <c r="Q58" s="25"/>
    </row>
    <row r="59" spans="1:17" s="23" customFormat="1" ht="20.25" hidden="1" customHeight="1">
      <c r="A59" s="25">
        <v>51</v>
      </c>
      <c r="B59" s="13" t="s">
        <v>479</v>
      </c>
      <c r="C59" s="16" t="s">
        <v>480</v>
      </c>
      <c r="D59" s="16">
        <v>10</v>
      </c>
      <c r="E59" s="16">
        <v>27</v>
      </c>
      <c r="F59" s="16">
        <v>1.5</v>
      </c>
      <c r="G59" s="16">
        <v>17</v>
      </c>
      <c r="H59" s="16" t="s">
        <v>284</v>
      </c>
      <c r="I59" s="47" t="s">
        <v>166</v>
      </c>
      <c r="J59" s="16" t="s">
        <v>481</v>
      </c>
      <c r="K59" s="16">
        <v>50000</v>
      </c>
      <c r="L59" s="57">
        <f>K59*0.047</f>
        <v>2350</v>
      </c>
      <c r="M59" s="57"/>
      <c r="N59" s="57"/>
      <c r="O59" s="25"/>
      <c r="P59" s="25"/>
      <c r="Q59" s="25"/>
    </row>
    <row r="60" spans="1:17" s="23" customFormat="1" ht="20.25" hidden="1" customHeight="1">
      <c r="A60" s="25">
        <v>52</v>
      </c>
      <c r="B60" s="13" t="s">
        <v>482</v>
      </c>
      <c r="C60" s="16" t="s">
        <v>485</v>
      </c>
      <c r="D60" s="16">
        <v>10</v>
      </c>
      <c r="E60" s="16">
        <v>20</v>
      </c>
      <c r="F60" s="16">
        <v>1.5</v>
      </c>
      <c r="G60" s="16">
        <v>17</v>
      </c>
      <c r="H60" s="16" t="s">
        <v>284</v>
      </c>
      <c r="I60" s="47" t="s">
        <v>166</v>
      </c>
      <c r="J60" s="16" t="s">
        <v>481</v>
      </c>
      <c r="K60" s="16">
        <v>12000</v>
      </c>
      <c r="L60" s="57">
        <f t="shared" ref="L60:L62" si="1">K60*0.047</f>
        <v>564</v>
      </c>
      <c r="M60" s="57"/>
      <c r="N60" s="57"/>
      <c r="O60" s="25"/>
      <c r="P60" s="25"/>
      <c r="Q60" s="25"/>
    </row>
    <row r="61" spans="1:17" s="23" customFormat="1" ht="20.25" hidden="1" customHeight="1">
      <c r="A61" s="25">
        <v>53</v>
      </c>
      <c r="B61" s="13" t="s">
        <v>482</v>
      </c>
      <c r="C61" s="16" t="s">
        <v>486</v>
      </c>
      <c r="D61" s="16">
        <v>10</v>
      </c>
      <c r="E61" s="16">
        <v>20</v>
      </c>
      <c r="F61" s="16">
        <v>1.5</v>
      </c>
      <c r="G61" s="16">
        <v>17</v>
      </c>
      <c r="H61" s="16" t="s">
        <v>284</v>
      </c>
      <c r="I61" s="47" t="s">
        <v>166</v>
      </c>
      <c r="J61" s="16" t="s">
        <v>481</v>
      </c>
      <c r="K61" s="16">
        <v>2000</v>
      </c>
      <c r="L61" s="57">
        <f t="shared" si="1"/>
        <v>94</v>
      </c>
      <c r="M61" s="57"/>
      <c r="N61" s="57"/>
      <c r="O61" s="25"/>
      <c r="P61" s="25"/>
      <c r="Q61" s="25"/>
    </row>
    <row r="62" spans="1:17" s="23" customFormat="1" ht="20.25" hidden="1" customHeight="1">
      <c r="A62" s="25">
        <v>54</v>
      </c>
      <c r="B62" s="13" t="s">
        <v>483</v>
      </c>
      <c r="C62" s="16" t="s">
        <v>484</v>
      </c>
      <c r="D62" s="16">
        <v>10</v>
      </c>
      <c r="E62" s="16">
        <v>22</v>
      </c>
      <c r="F62" s="16">
        <v>1.5</v>
      </c>
      <c r="G62" s="16">
        <v>17</v>
      </c>
      <c r="H62" s="16" t="s">
        <v>284</v>
      </c>
      <c r="I62" s="47" t="s">
        <v>166</v>
      </c>
      <c r="J62" s="16" t="s">
        <v>481</v>
      </c>
      <c r="K62" s="16">
        <v>60000</v>
      </c>
      <c r="L62" s="57">
        <f t="shared" si="1"/>
        <v>2820</v>
      </c>
      <c r="M62" s="57"/>
      <c r="N62" s="57"/>
      <c r="O62" s="25"/>
      <c r="P62" s="25"/>
      <c r="Q62" s="25"/>
    </row>
    <row r="63" spans="1:17" s="23" customFormat="1" ht="20.25" hidden="1" customHeight="1">
      <c r="A63" s="25">
        <v>55</v>
      </c>
      <c r="B63" s="45" t="s">
        <v>181</v>
      </c>
      <c r="C63" s="16" t="s">
        <v>182</v>
      </c>
      <c r="D63" s="16">
        <v>16</v>
      </c>
      <c r="E63" s="16">
        <v>40</v>
      </c>
      <c r="F63" s="16">
        <v>2</v>
      </c>
      <c r="G63" s="16">
        <v>24</v>
      </c>
      <c r="H63" s="16" t="s">
        <v>214</v>
      </c>
      <c r="I63" s="47" t="s">
        <v>166</v>
      </c>
      <c r="J63" s="16" t="s">
        <v>184</v>
      </c>
      <c r="K63" s="16">
        <v>2400</v>
      </c>
      <c r="L63" s="57">
        <v>213.12</v>
      </c>
      <c r="M63" s="57"/>
      <c r="N63" s="57"/>
      <c r="O63" s="25"/>
      <c r="P63" s="25"/>
      <c r="Q63" s="25"/>
    </row>
    <row r="64" spans="1:17" s="23" customFormat="1" ht="20.25" hidden="1" customHeight="1">
      <c r="A64" s="25">
        <v>56</v>
      </c>
      <c r="B64" s="45" t="s">
        <v>487</v>
      </c>
      <c r="C64" s="16" t="s">
        <v>503</v>
      </c>
      <c r="D64" s="16">
        <v>16</v>
      </c>
      <c r="E64" s="16">
        <v>45</v>
      </c>
      <c r="F64" s="16">
        <v>2</v>
      </c>
      <c r="G64" s="16">
        <v>24</v>
      </c>
      <c r="H64" s="16" t="s">
        <v>214</v>
      </c>
      <c r="I64" s="47" t="s">
        <v>166</v>
      </c>
      <c r="J64" s="16" t="s">
        <v>184</v>
      </c>
      <c r="K64" s="16">
        <v>1200</v>
      </c>
      <c r="L64" s="57">
        <v>114.24</v>
      </c>
      <c r="M64" s="57"/>
      <c r="N64" s="57"/>
      <c r="O64" s="25"/>
      <c r="P64" s="25"/>
      <c r="Q64" s="25"/>
    </row>
    <row r="65" spans="1:17" s="23" customFormat="1" ht="20.25" hidden="1" customHeight="1">
      <c r="A65" s="25">
        <v>57</v>
      </c>
      <c r="B65" s="45" t="s">
        <v>222</v>
      </c>
      <c r="C65" s="16" t="s">
        <v>223</v>
      </c>
      <c r="D65" s="16">
        <v>16</v>
      </c>
      <c r="E65" s="16">
        <v>50</v>
      </c>
      <c r="F65" s="16">
        <v>2</v>
      </c>
      <c r="G65" s="16">
        <v>24</v>
      </c>
      <c r="H65" s="16" t="s">
        <v>214</v>
      </c>
      <c r="I65" s="47" t="s">
        <v>166</v>
      </c>
      <c r="J65" s="16" t="s">
        <v>184</v>
      </c>
      <c r="K65" s="16">
        <v>1200</v>
      </c>
      <c r="L65" s="57">
        <v>121.92</v>
      </c>
      <c r="M65" s="57"/>
      <c r="N65" s="57"/>
      <c r="O65" s="25"/>
      <c r="P65" s="25"/>
      <c r="Q65" s="25"/>
    </row>
    <row r="66" spans="1:17" s="23" customFormat="1" ht="20.25" hidden="1" customHeight="1">
      <c r="A66" s="25">
        <v>58</v>
      </c>
      <c r="B66" s="45" t="s">
        <v>488</v>
      </c>
      <c r="C66" s="16" t="s">
        <v>506</v>
      </c>
      <c r="D66" s="16">
        <v>16</v>
      </c>
      <c r="E66" s="16">
        <v>50</v>
      </c>
      <c r="F66" s="16">
        <v>2</v>
      </c>
      <c r="G66" s="16">
        <v>24</v>
      </c>
      <c r="H66" s="16" t="s">
        <v>214</v>
      </c>
      <c r="I66" s="47" t="s">
        <v>166</v>
      </c>
      <c r="J66" s="16" t="s">
        <v>184</v>
      </c>
      <c r="K66" s="16">
        <v>1200</v>
      </c>
      <c r="L66" s="57">
        <v>121.92</v>
      </c>
      <c r="M66" s="57"/>
      <c r="N66" s="57"/>
      <c r="O66" s="25"/>
      <c r="P66" s="25"/>
      <c r="Q66" s="25"/>
    </row>
    <row r="67" spans="1:17" s="23" customFormat="1" ht="20.25" hidden="1" customHeight="1">
      <c r="A67" s="25">
        <v>59</v>
      </c>
      <c r="B67" s="45" t="s">
        <v>489</v>
      </c>
      <c r="C67" s="16" t="s">
        <v>504</v>
      </c>
      <c r="D67" s="16">
        <v>16</v>
      </c>
      <c r="E67" s="16">
        <v>30</v>
      </c>
      <c r="F67" s="16">
        <v>1.5</v>
      </c>
      <c r="G67" s="16">
        <v>24</v>
      </c>
      <c r="H67" s="16" t="s">
        <v>214</v>
      </c>
      <c r="I67" s="47" t="s">
        <v>166</v>
      </c>
      <c r="J67" s="16" t="s">
        <v>184</v>
      </c>
      <c r="K67" s="16">
        <v>2600</v>
      </c>
      <c r="L67" s="57">
        <v>174.2</v>
      </c>
      <c r="M67" s="57"/>
      <c r="N67" s="57"/>
      <c r="O67" s="25"/>
      <c r="P67" s="25"/>
      <c r="Q67" s="25"/>
    </row>
    <row r="68" spans="1:17" s="23" customFormat="1" ht="20.25" hidden="1" customHeight="1">
      <c r="A68" s="25">
        <v>60</v>
      </c>
      <c r="B68" s="45" t="s">
        <v>490</v>
      </c>
      <c r="C68" s="16" t="s">
        <v>505</v>
      </c>
      <c r="D68" s="16">
        <v>16</v>
      </c>
      <c r="E68" s="16">
        <v>45</v>
      </c>
      <c r="F68" s="16">
        <v>1.5</v>
      </c>
      <c r="G68" s="16">
        <v>24</v>
      </c>
      <c r="H68" s="16" t="s">
        <v>214</v>
      </c>
      <c r="I68" s="47" t="s">
        <v>166</v>
      </c>
      <c r="J68" s="16" t="s">
        <v>184</v>
      </c>
      <c r="K68" s="16">
        <v>1200</v>
      </c>
      <c r="L68" s="57">
        <v>117.6</v>
      </c>
      <c r="M68" s="57"/>
      <c r="N68" s="57"/>
      <c r="O68" s="25"/>
      <c r="P68" s="25"/>
      <c r="Q68" s="25"/>
    </row>
    <row r="69" spans="1:17" s="23" customFormat="1" ht="20.25" hidden="1" customHeight="1">
      <c r="A69" s="25">
        <v>61</v>
      </c>
      <c r="B69" s="45" t="s">
        <v>491</v>
      </c>
      <c r="C69" s="16" t="s">
        <v>497</v>
      </c>
      <c r="D69" s="16">
        <v>16</v>
      </c>
      <c r="E69" s="16">
        <v>50</v>
      </c>
      <c r="F69" s="16">
        <v>1.5</v>
      </c>
      <c r="G69" s="16">
        <v>24</v>
      </c>
      <c r="H69" s="16" t="s">
        <v>214</v>
      </c>
      <c r="I69" s="47" t="s">
        <v>166</v>
      </c>
      <c r="J69" s="16" t="s">
        <v>184</v>
      </c>
      <c r="K69" s="16">
        <v>3000</v>
      </c>
      <c r="L69" s="57">
        <v>319.8</v>
      </c>
      <c r="M69" s="57"/>
      <c r="N69" s="57"/>
      <c r="O69" s="25"/>
      <c r="P69" s="25"/>
      <c r="Q69" s="25"/>
    </row>
    <row r="70" spans="1:17" s="23" customFormat="1" ht="20.25" hidden="1" customHeight="1">
      <c r="A70" s="25">
        <v>62</v>
      </c>
      <c r="B70" s="45" t="s">
        <v>492</v>
      </c>
      <c r="C70" s="16" t="s">
        <v>498</v>
      </c>
      <c r="D70" s="16">
        <v>16</v>
      </c>
      <c r="E70" s="16">
        <v>60</v>
      </c>
      <c r="F70" s="16">
        <v>1.5</v>
      </c>
      <c r="G70" s="16">
        <v>24</v>
      </c>
      <c r="H70" s="16" t="s">
        <v>214</v>
      </c>
      <c r="I70" s="47" t="s">
        <v>166</v>
      </c>
      <c r="J70" s="16" t="s">
        <v>184</v>
      </c>
      <c r="K70" s="16">
        <v>2000</v>
      </c>
      <c r="L70" s="57">
        <v>242.8</v>
      </c>
      <c r="M70" s="57"/>
      <c r="N70" s="57"/>
      <c r="O70" s="25"/>
      <c r="P70" s="25"/>
      <c r="Q70" s="25"/>
    </row>
    <row r="71" spans="1:17" s="23" customFormat="1" ht="20.25" hidden="1" customHeight="1">
      <c r="A71" s="25">
        <v>63</v>
      </c>
      <c r="B71" s="45" t="s">
        <v>493</v>
      </c>
      <c r="C71" s="16" t="s">
        <v>499</v>
      </c>
      <c r="D71" s="16">
        <v>16</v>
      </c>
      <c r="E71" s="16">
        <v>70</v>
      </c>
      <c r="F71" s="16">
        <v>1.5</v>
      </c>
      <c r="G71" s="16">
        <v>24</v>
      </c>
      <c r="H71" s="16" t="s">
        <v>214</v>
      </c>
      <c r="I71" s="47" t="s">
        <v>166</v>
      </c>
      <c r="J71" s="16" t="s">
        <v>184</v>
      </c>
      <c r="K71" s="16">
        <v>2000</v>
      </c>
      <c r="L71" s="57">
        <v>273.2</v>
      </c>
      <c r="M71" s="57"/>
      <c r="N71" s="57"/>
      <c r="O71" s="25"/>
      <c r="P71" s="25"/>
      <c r="Q71" s="25"/>
    </row>
    <row r="72" spans="1:17" s="23" customFormat="1" ht="20.25" hidden="1" customHeight="1">
      <c r="A72" s="25">
        <v>64</v>
      </c>
      <c r="B72" s="45" t="s">
        <v>494</v>
      </c>
      <c r="C72" s="16" t="s">
        <v>500</v>
      </c>
      <c r="D72" s="16">
        <v>16</v>
      </c>
      <c r="E72" s="45">
        <v>100</v>
      </c>
      <c r="F72" s="16">
        <v>1.5</v>
      </c>
      <c r="G72" s="16">
        <v>24</v>
      </c>
      <c r="H72" s="16" t="s">
        <v>214</v>
      </c>
      <c r="I72" s="47" t="s">
        <v>166</v>
      </c>
      <c r="J72" s="16" t="s">
        <v>184</v>
      </c>
      <c r="K72" s="16">
        <v>1200</v>
      </c>
      <c r="L72" s="57">
        <v>219.12</v>
      </c>
      <c r="M72" s="57"/>
      <c r="N72" s="57"/>
      <c r="O72" s="25"/>
      <c r="P72" s="25"/>
      <c r="Q72" s="25"/>
    </row>
    <row r="73" spans="1:17" s="23" customFormat="1" ht="20.25" hidden="1" customHeight="1">
      <c r="A73" s="25">
        <v>65</v>
      </c>
      <c r="B73" s="45" t="s">
        <v>495</v>
      </c>
      <c r="C73" s="16" t="s">
        <v>501</v>
      </c>
      <c r="D73" s="16">
        <v>16</v>
      </c>
      <c r="E73" s="57">
        <v>110</v>
      </c>
      <c r="F73" s="16">
        <v>1.5</v>
      </c>
      <c r="G73" s="16">
        <v>24</v>
      </c>
      <c r="H73" s="16" t="s">
        <v>214</v>
      </c>
      <c r="I73" s="47" t="s">
        <v>166</v>
      </c>
      <c r="J73" s="16" t="s">
        <v>184</v>
      </c>
      <c r="K73" s="16">
        <v>1200</v>
      </c>
      <c r="L73" s="57">
        <v>235.2</v>
      </c>
      <c r="M73" s="57"/>
      <c r="N73" s="57"/>
      <c r="O73" s="25"/>
      <c r="P73" s="25"/>
      <c r="Q73" s="25"/>
    </row>
    <row r="74" spans="1:17" s="23" customFormat="1" ht="20.25" hidden="1" customHeight="1">
      <c r="A74" s="25">
        <v>66</v>
      </c>
      <c r="B74" s="45" t="s">
        <v>496</v>
      </c>
      <c r="C74" s="16" t="s">
        <v>502</v>
      </c>
      <c r="D74" s="16">
        <v>16</v>
      </c>
      <c r="E74" s="57">
        <v>130</v>
      </c>
      <c r="F74" s="16">
        <v>1.5</v>
      </c>
      <c r="G74" s="16">
        <v>24</v>
      </c>
      <c r="H74" s="16" t="s">
        <v>214</v>
      </c>
      <c r="I74" s="47" t="s">
        <v>166</v>
      </c>
      <c r="J74" s="16" t="s">
        <v>184</v>
      </c>
      <c r="K74" s="16">
        <v>1000</v>
      </c>
      <c r="L74" s="57">
        <v>227</v>
      </c>
      <c r="M74" s="57"/>
      <c r="N74" s="57"/>
      <c r="O74" s="25"/>
      <c r="P74" s="25"/>
      <c r="Q74" s="25"/>
    </row>
    <row r="75" spans="1:17" s="23" customFormat="1" ht="20.25" hidden="1" customHeight="1">
      <c r="A75" s="25">
        <v>67</v>
      </c>
      <c r="B75" s="45" t="s">
        <v>510</v>
      </c>
      <c r="C75" s="57" t="s">
        <v>511</v>
      </c>
      <c r="D75" s="57">
        <v>10</v>
      </c>
      <c r="E75" s="57">
        <v>35</v>
      </c>
      <c r="F75" s="57">
        <v>1.5</v>
      </c>
      <c r="G75" s="57">
        <v>17</v>
      </c>
      <c r="H75" s="16" t="s">
        <v>214</v>
      </c>
      <c r="I75" s="47" t="s">
        <v>166</v>
      </c>
      <c r="J75" s="69" t="s">
        <v>363</v>
      </c>
      <c r="K75" s="16">
        <v>5000</v>
      </c>
      <c r="L75" s="57">
        <v>500</v>
      </c>
      <c r="M75" s="57"/>
      <c r="N75" s="57"/>
      <c r="O75" s="25"/>
      <c r="P75" s="25"/>
      <c r="Q75" s="25"/>
    </row>
    <row r="76" spans="1:17" s="23" customFormat="1" ht="20.25" customHeight="1">
      <c r="A76" s="25"/>
      <c r="B76" s="45"/>
      <c r="C76" s="57"/>
      <c r="D76" s="57"/>
      <c r="E76" s="57"/>
      <c r="F76" s="57"/>
      <c r="G76" s="57"/>
      <c r="H76" s="57"/>
      <c r="I76" s="50"/>
      <c r="J76" s="66"/>
      <c r="K76" s="16"/>
      <c r="L76" s="57"/>
      <c r="M76" s="57"/>
      <c r="N76" s="57"/>
      <c r="O76" s="25"/>
      <c r="P76" s="25"/>
      <c r="Q76" s="25"/>
    </row>
    <row r="77" spans="1:17" s="23" customFormat="1" ht="20.25" customHeight="1">
      <c r="A77" s="204" t="s">
        <v>279</v>
      </c>
      <c r="B77" s="205"/>
      <c r="C77" s="205"/>
      <c r="D77" s="205"/>
      <c r="E77" s="205"/>
      <c r="F77" s="205"/>
      <c r="G77" s="205"/>
      <c r="H77" s="205"/>
      <c r="I77" s="205"/>
      <c r="J77" s="206"/>
      <c r="K77" s="60">
        <f>SUM(K7:K76)</f>
        <v>367700</v>
      </c>
      <c r="L77" s="60">
        <f>SUM(L7:L76)</f>
        <v>25354.081999999995</v>
      </c>
      <c r="M77" s="61"/>
      <c r="N77" s="61"/>
      <c r="O77" s="16"/>
      <c r="P77" s="16"/>
      <c r="Q77" s="25"/>
    </row>
    <row r="78" spans="1:17" s="23" customFormat="1" ht="36.75" customHeight="1">
      <c r="A78" s="25"/>
      <c r="B78" s="55" t="s">
        <v>201</v>
      </c>
      <c r="C78" s="32" t="s">
        <v>203</v>
      </c>
      <c r="D78" s="32"/>
      <c r="E78" s="32"/>
      <c r="F78" s="32"/>
      <c r="G78" s="32"/>
      <c r="H78" s="48" t="s">
        <v>206</v>
      </c>
      <c r="I78" s="48" t="s">
        <v>207</v>
      </c>
      <c r="J78" s="48" t="s">
        <v>204</v>
      </c>
      <c r="K78" s="82"/>
      <c r="L78" s="51"/>
      <c r="M78" s="51"/>
      <c r="N78" s="51"/>
      <c r="O78" s="25"/>
      <c r="P78" s="25"/>
      <c r="Q78" s="25"/>
    </row>
    <row r="79" spans="1:17" s="23" customFormat="1" ht="20.25" customHeight="1">
      <c r="A79" s="25"/>
      <c r="B79" s="53" t="s">
        <v>208</v>
      </c>
      <c r="C79" s="25">
        <f>9*60*0.75*50</f>
        <v>20250</v>
      </c>
      <c r="D79" s="25"/>
      <c r="E79" s="25"/>
      <c r="F79" s="25"/>
      <c r="G79" s="25"/>
      <c r="H79" s="39">
        <f>9*26*100*60*0.75</f>
        <v>1053000</v>
      </c>
      <c r="I79" s="24">
        <f>K77</f>
        <v>367700</v>
      </c>
      <c r="J79" s="56">
        <f>I79/C79</f>
        <v>18.158024691358026</v>
      </c>
      <c r="K79" s="82"/>
      <c r="L79" s="51"/>
      <c r="M79" s="51"/>
      <c r="N79" s="51"/>
      <c r="O79" s="25"/>
      <c r="P79" s="16"/>
      <c r="Q79" s="16"/>
    </row>
    <row r="80" spans="1:17" s="23" customFormat="1" ht="20.25" customHeight="1">
      <c r="A80" s="25"/>
      <c r="B80" s="42"/>
      <c r="C80" s="16"/>
      <c r="D80" s="16"/>
      <c r="E80" s="16"/>
      <c r="F80" s="16"/>
      <c r="G80" s="16"/>
      <c r="H80" s="38"/>
      <c r="I80" s="50"/>
      <c r="J80" s="16"/>
      <c r="K80" s="16"/>
      <c r="L80" s="16"/>
      <c r="M80" s="16"/>
      <c r="N80" s="16"/>
      <c r="O80" s="16"/>
      <c r="P80" s="16"/>
      <c r="Q80" s="16"/>
    </row>
    <row r="81" spans="1:17" ht="39" customHeight="1">
      <c r="A81" s="201" t="s">
        <v>278</v>
      </c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3"/>
    </row>
    <row r="82" spans="1:17" ht="26.25" customHeight="1">
      <c r="A82" s="32" t="s">
        <v>116</v>
      </c>
      <c r="B82" s="184" t="s">
        <v>280</v>
      </c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5"/>
    </row>
    <row r="83" spans="1:17" ht="26.25" customHeight="1">
      <c r="A83" s="103"/>
      <c r="B83" s="36" t="s">
        <v>507</v>
      </c>
    </row>
    <row r="84" spans="1:17" ht="26.25" customHeight="1">
      <c r="A84" s="104"/>
      <c r="B84" s="36" t="s">
        <v>508</v>
      </c>
    </row>
    <row r="85" spans="1:17" ht="26.25" customHeight="1">
      <c r="A85" s="105"/>
      <c r="B85" s="36" t="s">
        <v>509</v>
      </c>
    </row>
  </sheetData>
  <autoFilter ref="A6:Q75" xr:uid="{00000000-0009-0000-0000-000004000000}">
    <filterColumn colId="7">
      <filters>
        <filter val="PPL-8.8"/>
      </filters>
    </filterColumn>
  </autoFilter>
  <mergeCells count="7">
    <mergeCell ref="B82:Q82"/>
    <mergeCell ref="A1:O3"/>
    <mergeCell ref="A4:J5"/>
    <mergeCell ref="L4:O4"/>
    <mergeCell ref="L5:O5"/>
    <mergeCell ref="A77:J77"/>
    <mergeCell ref="A81:Q81"/>
  </mergeCells>
  <printOptions horizontalCentered="1" verticalCentered="1"/>
  <pageMargins left="0.26" right="0.15" top="0.25" bottom="0.37" header="0.17" footer="0.16"/>
  <pageSetup paperSize="9" scale="6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K31"/>
  <sheetViews>
    <sheetView view="pageBreakPreview" topLeftCell="A4" zoomScaleSheetLayoutView="100" workbookViewId="0">
      <selection activeCell="F24" sqref="F24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6.109375" style="36" bestFit="1" customWidth="1"/>
    <col min="5" max="5" width="17" style="19" customWidth="1"/>
    <col min="6" max="6" width="22" style="19" bestFit="1" customWidth="1"/>
    <col min="7" max="7" width="17" style="19" customWidth="1"/>
    <col min="8" max="8" width="11.6640625" style="19" bestFit="1" customWidth="1"/>
    <col min="9" max="9" width="11.6640625" style="19" hidden="1" customWidth="1"/>
    <col min="10" max="10" width="13.33203125" style="19" bestFit="1" customWidth="1"/>
    <col min="11" max="11" width="27.6640625" style="19" customWidth="1"/>
    <col min="12" max="12" width="9.109375" style="19"/>
    <col min="13" max="13" width="11.5546875" style="19" bestFit="1" customWidth="1"/>
    <col min="14" max="14" width="11.6640625" style="19" bestFit="1" customWidth="1"/>
    <col min="15" max="16384" width="9.109375" style="19"/>
  </cols>
  <sheetData>
    <row r="1" spans="1:11" ht="14.25" customHeight="1">
      <c r="A1" s="210" t="s">
        <v>115</v>
      </c>
      <c r="B1" s="210"/>
      <c r="C1" s="210"/>
      <c r="D1" s="210"/>
      <c r="E1" s="210"/>
      <c r="F1" s="210"/>
      <c r="G1" s="210"/>
      <c r="H1" s="210"/>
      <c r="I1" s="17" t="s">
        <v>0</v>
      </c>
      <c r="J1" s="17" t="s">
        <v>104</v>
      </c>
      <c r="K1" s="33"/>
    </row>
    <row r="2" spans="1:11" ht="15.75" customHeight="1">
      <c r="A2" s="210"/>
      <c r="B2" s="210"/>
      <c r="C2" s="210"/>
      <c r="D2" s="210"/>
      <c r="E2" s="210"/>
      <c r="F2" s="210"/>
      <c r="G2" s="210"/>
      <c r="H2" s="210"/>
      <c r="I2" s="17" t="s">
        <v>11</v>
      </c>
      <c r="J2" s="17" t="s">
        <v>105</v>
      </c>
      <c r="K2" s="33"/>
    </row>
    <row r="3" spans="1:11" ht="14.25" customHeight="1">
      <c r="A3" s="211" t="s">
        <v>108</v>
      </c>
      <c r="B3" s="211"/>
      <c r="C3" s="211"/>
      <c r="D3" s="211"/>
      <c r="E3" s="211"/>
      <c r="F3" s="211"/>
      <c r="G3" s="211"/>
      <c r="H3" s="211"/>
      <c r="I3" s="20" t="s">
        <v>12</v>
      </c>
      <c r="J3" s="20" t="s">
        <v>106</v>
      </c>
      <c r="K3" s="34"/>
    </row>
    <row r="4" spans="1:11" s="23" customFormat="1" ht="13.8">
      <c r="A4" s="211"/>
      <c r="B4" s="211"/>
      <c r="C4" s="211"/>
      <c r="D4" s="211"/>
      <c r="E4" s="211"/>
      <c r="F4" s="211"/>
      <c r="G4" s="211"/>
      <c r="H4" s="211"/>
      <c r="I4" s="14" t="s">
        <v>2</v>
      </c>
      <c r="J4" s="30" t="s">
        <v>107</v>
      </c>
      <c r="K4" s="22"/>
    </row>
    <row r="5" spans="1:11" s="23" customFormat="1" ht="18.75" customHeight="1">
      <c r="A5" s="15" t="s">
        <v>109</v>
      </c>
      <c r="B5" s="37" t="s">
        <v>4</v>
      </c>
      <c r="C5" s="24" t="s">
        <v>5</v>
      </c>
      <c r="D5" s="37" t="s">
        <v>110</v>
      </c>
      <c r="E5" s="24" t="s">
        <v>6</v>
      </c>
      <c r="F5" s="24" t="s">
        <v>9</v>
      </c>
      <c r="G5" s="24" t="s">
        <v>8</v>
      </c>
      <c r="H5" s="24" t="s">
        <v>7</v>
      </c>
      <c r="I5" s="24" t="s">
        <v>14</v>
      </c>
      <c r="J5" s="24" t="s">
        <v>121</v>
      </c>
      <c r="K5" s="24" t="s">
        <v>15</v>
      </c>
    </row>
    <row r="6" spans="1:11" s="23" customFormat="1" ht="23.25" customHeight="1">
      <c r="A6" s="15">
        <v>7</v>
      </c>
      <c r="B6" s="45" t="s">
        <v>122</v>
      </c>
      <c r="C6" s="16" t="s">
        <v>124</v>
      </c>
      <c r="D6" s="38" t="s">
        <v>145</v>
      </c>
      <c r="E6" s="48" t="s">
        <v>164</v>
      </c>
      <c r="F6" s="16" t="s">
        <v>126</v>
      </c>
      <c r="G6" s="16" t="s">
        <v>127</v>
      </c>
      <c r="H6" s="38">
        <v>3000</v>
      </c>
      <c r="I6" s="16"/>
      <c r="J6" s="16">
        <v>7</v>
      </c>
      <c r="K6" s="44" t="s">
        <v>163</v>
      </c>
    </row>
    <row r="7" spans="1:11" s="23" customFormat="1" ht="20.25" customHeight="1">
      <c r="A7" s="15">
        <v>8</v>
      </c>
      <c r="B7" s="45" t="s">
        <v>123</v>
      </c>
      <c r="C7" s="16" t="s">
        <v>125</v>
      </c>
      <c r="D7" s="38" t="s">
        <v>145</v>
      </c>
      <c r="E7" s="48" t="s">
        <v>164</v>
      </c>
      <c r="F7" s="16" t="s">
        <v>126</v>
      </c>
      <c r="G7" s="16" t="s">
        <v>127</v>
      </c>
      <c r="H7" s="38">
        <v>5000</v>
      </c>
      <c r="I7" s="16"/>
      <c r="J7" s="16">
        <v>8</v>
      </c>
      <c r="K7" s="16" t="s">
        <v>163</v>
      </c>
    </row>
    <row r="8" spans="1:11" s="23" customFormat="1" ht="20.25" customHeight="1">
      <c r="A8" s="15">
        <v>9</v>
      </c>
      <c r="B8" s="45" t="s">
        <v>132</v>
      </c>
      <c r="C8" s="16" t="s">
        <v>133</v>
      </c>
      <c r="D8" s="38" t="s">
        <v>145</v>
      </c>
      <c r="E8" s="48" t="s">
        <v>164</v>
      </c>
      <c r="F8" s="16" t="s">
        <v>126</v>
      </c>
      <c r="G8" s="16" t="s">
        <v>127</v>
      </c>
      <c r="H8" s="38">
        <v>6000</v>
      </c>
      <c r="I8" s="16"/>
      <c r="J8" s="16">
        <v>9</v>
      </c>
      <c r="K8" s="16"/>
    </row>
    <row r="9" spans="1:11" s="23" customFormat="1" ht="20.25" customHeight="1">
      <c r="A9" s="15">
        <v>10</v>
      </c>
      <c r="B9" s="45" t="s">
        <v>128</v>
      </c>
      <c r="C9" s="16" t="s">
        <v>129</v>
      </c>
      <c r="D9" s="38" t="s">
        <v>145</v>
      </c>
      <c r="E9" s="48" t="s">
        <v>164</v>
      </c>
      <c r="F9" s="16" t="s">
        <v>126</v>
      </c>
      <c r="G9" s="16" t="s">
        <v>127</v>
      </c>
      <c r="H9" s="38">
        <v>1200</v>
      </c>
      <c r="I9" s="16"/>
      <c r="J9" s="16">
        <v>10</v>
      </c>
      <c r="K9" s="16"/>
    </row>
    <row r="10" spans="1:11" s="23" customFormat="1" ht="20.25" customHeight="1">
      <c r="A10" s="15">
        <v>11</v>
      </c>
      <c r="B10" s="13" t="s">
        <v>130</v>
      </c>
      <c r="C10" s="16" t="s">
        <v>131</v>
      </c>
      <c r="D10" s="38" t="s">
        <v>145</v>
      </c>
      <c r="E10" s="48" t="s">
        <v>164</v>
      </c>
      <c r="F10" s="16" t="s">
        <v>126</v>
      </c>
      <c r="G10" s="16" t="s">
        <v>127</v>
      </c>
      <c r="H10" s="39">
        <v>1200</v>
      </c>
      <c r="I10" s="16"/>
      <c r="J10" s="16">
        <v>11</v>
      </c>
      <c r="K10" s="16"/>
    </row>
    <row r="11" spans="1:11" s="23" customFormat="1" ht="20.25" customHeight="1">
      <c r="A11" s="15">
        <v>12</v>
      </c>
      <c r="B11" s="46" t="s">
        <v>134</v>
      </c>
      <c r="C11" s="16" t="s">
        <v>139</v>
      </c>
      <c r="D11" s="35" t="s">
        <v>146</v>
      </c>
      <c r="E11" s="48" t="s">
        <v>164</v>
      </c>
      <c r="F11" s="16" t="s">
        <v>126</v>
      </c>
      <c r="G11" s="16" t="s">
        <v>127</v>
      </c>
      <c r="H11" s="35">
        <v>1500</v>
      </c>
      <c r="I11" s="25"/>
      <c r="J11" s="25">
        <v>12</v>
      </c>
      <c r="K11" s="25"/>
    </row>
    <row r="12" spans="1:11" s="23" customFormat="1" ht="20.25" customHeight="1">
      <c r="A12" s="15">
        <v>13</v>
      </c>
      <c r="B12" s="46" t="s">
        <v>135</v>
      </c>
      <c r="C12" s="16" t="s">
        <v>140</v>
      </c>
      <c r="D12" s="35" t="s">
        <v>146</v>
      </c>
      <c r="E12" s="48" t="s">
        <v>164</v>
      </c>
      <c r="F12" s="16" t="s">
        <v>126</v>
      </c>
      <c r="G12" s="16" t="s">
        <v>127</v>
      </c>
      <c r="H12" s="35">
        <v>1300</v>
      </c>
      <c r="I12" s="25"/>
      <c r="J12" s="25">
        <v>13</v>
      </c>
      <c r="K12" s="25"/>
    </row>
    <row r="13" spans="1:11" s="23" customFormat="1" ht="20.25" customHeight="1">
      <c r="A13" s="15">
        <v>14</v>
      </c>
      <c r="B13" s="46" t="s">
        <v>136</v>
      </c>
      <c r="C13" s="16" t="s">
        <v>147</v>
      </c>
      <c r="D13" s="35" t="s">
        <v>146</v>
      </c>
      <c r="E13" s="48" t="s">
        <v>164</v>
      </c>
      <c r="F13" s="16" t="s">
        <v>126</v>
      </c>
      <c r="G13" s="16" t="s">
        <v>127</v>
      </c>
      <c r="H13" s="35">
        <v>2000</v>
      </c>
      <c r="I13" s="25"/>
      <c r="J13" s="25">
        <v>14</v>
      </c>
      <c r="K13" s="25"/>
    </row>
    <row r="14" spans="1:11" s="23" customFormat="1" ht="20.25" customHeight="1">
      <c r="A14" s="15">
        <v>15</v>
      </c>
      <c r="B14" s="47" t="s">
        <v>137</v>
      </c>
      <c r="C14" s="16" t="s">
        <v>142</v>
      </c>
      <c r="D14" s="38" t="s">
        <v>145</v>
      </c>
      <c r="E14" s="48" t="s">
        <v>164</v>
      </c>
      <c r="F14" s="16" t="s">
        <v>126</v>
      </c>
      <c r="G14" s="16" t="s">
        <v>127</v>
      </c>
      <c r="H14" s="35">
        <v>12000</v>
      </c>
      <c r="I14" s="25"/>
      <c r="J14" s="25">
        <v>15</v>
      </c>
      <c r="K14" s="25" t="s">
        <v>163</v>
      </c>
    </row>
    <row r="15" spans="1:11" s="23" customFormat="1" ht="20.25" customHeight="1">
      <c r="A15" s="15">
        <v>16</v>
      </c>
      <c r="B15" s="47" t="s">
        <v>138</v>
      </c>
      <c r="C15" s="16" t="s">
        <v>143</v>
      </c>
      <c r="D15" s="38" t="s">
        <v>145</v>
      </c>
      <c r="E15" s="48" t="s">
        <v>164</v>
      </c>
      <c r="F15" s="16" t="s">
        <v>126</v>
      </c>
      <c r="G15" s="16" t="s">
        <v>127</v>
      </c>
      <c r="H15" s="35">
        <v>3000</v>
      </c>
      <c r="I15" s="25"/>
      <c r="J15" s="16">
        <v>16</v>
      </c>
      <c r="K15" s="16"/>
    </row>
    <row r="16" spans="1:11" s="23" customFormat="1" ht="20.25" customHeight="1">
      <c r="A16" s="15">
        <v>17</v>
      </c>
      <c r="B16" s="47" t="s">
        <v>141</v>
      </c>
      <c r="C16" s="16" t="s">
        <v>144</v>
      </c>
      <c r="D16" s="38" t="s">
        <v>145</v>
      </c>
      <c r="E16" s="48" t="s">
        <v>164</v>
      </c>
      <c r="F16" s="16" t="s">
        <v>126</v>
      </c>
      <c r="G16" s="16" t="s">
        <v>127</v>
      </c>
      <c r="H16" s="38">
        <v>2000</v>
      </c>
      <c r="I16" s="16"/>
      <c r="J16" s="16">
        <v>17</v>
      </c>
      <c r="K16" s="16"/>
    </row>
    <row r="17" spans="1:11" s="23" customFormat="1" ht="20.25" customHeight="1">
      <c r="A17" s="15">
        <v>18</v>
      </c>
      <c r="B17" s="45" t="s">
        <v>148</v>
      </c>
      <c r="C17" s="29" t="s">
        <v>150</v>
      </c>
      <c r="D17" s="40" t="s">
        <v>145</v>
      </c>
      <c r="E17" s="48" t="s">
        <v>164</v>
      </c>
      <c r="F17" s="16" t="s">
        <v>126</v>
      </c>
      <c r="G17" s="16" t="s">
        <v>127</v>
      </c>
      <c r="H17" s="38">
        <v>5000</v>
      </c>
      <c r="I17" s="16"/>
      <c r="J17" s="16">
        <v>18</v>
      </c>
      <c r="K17" s="16" t="s">
        <v>152</v>
      </c>
    </row>
    <row r="18" spans="1:11" s="23" customFormat="1" ht="20.25" customHeight="1">
      <c r="A18" s="15">
        <v>19</v>
      </c>
      <c r="B18" s="45" t="s">
        <v>149</v>
      </c>
      <c r="C18" s="25" t="s">
        <v>151</v>
      </c>
      <c r="D18" s="39" t="s">
        <v>145</v>
      </c>
      <c r="E18" s="48" t="s">
        <v>164</v>
      </c>
      <c r="F18" s="25" t="s">
        <v>126</v>
      </c>
      <c r="G18" s="16" t="s">
        <v>127</v>
      </c>
      <c r="H18" s="39">
        <v>5000</v>
      </c>
      <c r="I18" s="25"/>
      <c r="J18" s="25">
        <v>19</v>
      </c>
      <c r="K18" s="25" t="s">
        <v>152</v>
      </c>
    </row>
    <row r="19" spans="1:11" s="23" customFormat="1" ht="20.25" customHeight="1">
      <c r="A19" s="15">
        <v>20</v>
      </c>
      <c r="B19" s="45" t="s">
        <v>153</v>
      </c>
      <c r="C19" s="25" t="s">
        <v>154</v>
      </c>
      <c r="D19" s="39" t="s">
        <v>155</v>
      </c>
      <c r="E19" s="48" t="s">
        <v>164</v>
      </c>
      <c r="F19" s="25" t="s">
        <v>156</v>
      </c>
      <c r="G19" s="16" t="s">
        <v>127</v>
      </c>
      <c r="H19" s="25">
        <v>20000</v>
      </c>
      <c r="I19" s="25"/>
      <c r="J19" s="25">
        <v>20</v>
      </c>
      <c r="K19" s="25" t="s">
        <v>163</v>
      </c>
    </row>
    <row r="20" spans="1:11" s="23" customFormat="1" ht="20.25" customHeight="1">
      <c r="A20" s="15">
        <v>21</v>
      </c>
      <c r="B20" s="45" t="s">
        <v>157</v>
      </c>
      <c r="C20" s="25" t="s">
        <v>158</v>
      </c>
      <c r="D20" s="39" t="s">
        <v>155</v>
      </c>
      <c r="E20" s="48" t="s">
        <v>164</v>
      </c>
      <c r="F20" s="25" t="s">
        <v>156</v>
      </c>
      <c r="G20" s="16" t="s">
        <v>127</v>
      </c>
      <c r="H20" s="25">
        <v>12000</v>
      </c>
      <c r="I20" s="25"/>
      <c r="J20" s="25">
        <v>21</v>
      </c>
      <c r="K20" s="25" t="s">
        <v>163</v>
      </c>
    </row>
    <row r="21" spans="1:11" s="23" customFormat="1" ht="20.25" customHeight="1">
      <c r="A21" s="15">
        <v>22</v>
      </c>
      <c r="B21" s="45" t="s">
        <v>159</v>
      </c>
      <c r="C21" s="25" t="s">
        <v>161</v>
      </c>
      <c r="D21" s="39" t="s">
        <v>155</v>
      </c>
      <c r="E21" s="48" t="s">
        <v>164</v>
      </c>
      <c r="F21" s="25" t="s">
        <v>156</v>
      </c>
      <c r="G21" s="16" t="s">
        <v>127</v>
      </c>
      <c r="H21" s="25">
        <v>2000</v>
      </c>
      <c r="I21" s="25"/>
      <c r="J21" s="25">
        <v>22</v>
      </c>
      <c r="K21" s="25"/>
    </row>
    <row r="22" spans="1:11" s="23" customFormat="1" ht="20.25" customHeight="1">
      <c r="A22" s="15">
        <v>23</v>
      </c>
      <c r="B22" s="45" t="s">
        <v>160</v>
      </c>
      <c r="C22" s="25" t="s">
        <v>162</v>
      </c>
      <c r="D22" s="39" t="s">
        <v>155</v>
      </c>
      <c r="E22" s="48" t="s">
        <v>164</v>
      </c>
      <c r="F22" s="25" t="s">
        <v>156</v>
      </c>
      <c r="G22" s="16" t="s">
        <v>127</v>
      </c>
      <c r="H22" s="25">
        <v>3500</v>
      </c>
      <c r="I22" s="25"/>
      <c r="J22" s="25">
        <v>23</v>
      </c>
      <c r="K22" s="25"/>
    </row>
    <row r="23" spans="1:11" s="23" customFormat="1" ht="20.25" customHeight="1">
      <c r="A23" s="15">
        <v>24</v>
      </c>
      <c r="B23" s="41"/>
      <c r="C23" s="25"/>
      <c r="D23" s="39"/>
      <c r="E23" s="16"/>
      <c r="F23" s="25"/>
      <c r="G23" s="16"/>
      <c r="H23" s="25"/>
      <c r="I23" s="25"/>
      <c r="J23" s="25"/>
      <c r="K23" s="25"/>
    </row>
    <row r="24" spans="1:11" s="23" customFormat="1" ht="20.25" customHeight="1">
      <c r="A24" s="15">
        <v>25</v>
      </c>
      <c r="B24" s="41"/>
      <c r="C24" s="25"/>
      <c r="D24" s="39"/>
      <c r="E24" s="16"/>
      <c r="F24" s="25"/>
      <c r="G24" s="16"/>
      <c r="H24" s="25"/>
      <c r="I24" s="25"/>
      <c r="J24" s="25"/>
      <c r="K24" s="25"/>
    </row>
    <row r="25" spans="1:11" s="23" customFormat="1" ht="20.25" customHeight="1">
      <c r="A25" s="15">
        <v>26</v>
      </c>
      <c r="B25" s="41"/>
      <c r="C25" s="25"/>
      <c r="D25" s="39"/>
      <c r="E25" s="16"/>
      <c r="F25" s="25"/>
      <c r="G25" s="16"/>
      <c r="H25" s="25"/>
      <c r="I25" s="25"/>
      <c r="J25" s="25"/>
      <c r="K25" s="25"/>
    </row>
    <row r="26" spans="1:11" s="23" customFormat="1" ht="20.25" customHeight="1">
      <c r="A26" s="15">
        <v>27</v>
      </c>
      <c r="B26" s="41"/>
      <c r="C26" s="25"/>
      <c r="D26" s="39"/>
      <c r="E26" s="16"/>
      <c r="F26" s="25"/>
      <c r="G26" s="16"/>
      <c r="H26" s="25"/>
      <c r="I26" s="25"/>
      <c r="J26" s="25"/>
      <c r="K26" s="25"/>
    </row>
    <row r="27" spans="1:11" s="23" customFormat="1" ht="20.25" customHeight="1">
      <c r="A27" s="15">
        <v>28</v>
      </c>
      <c r="B27" s="41"/>
      <c r="C27" s="27"/>
      <c r="D27" s="41"/>
      <c r="E27" s="16"/>
      <c r="F27" s="25"/>
      <c r="G27" s="16"/>
      <c r="H27" s="25"/>
      <c r="I27" s="25"/>
      <c r="J27" s="25"/>
      <c r="K27" s="25"/>
    </row>
    <row r="28" spans="1:11" s="23" customFormat="1" ht="20.25" customHeight="1">
      <c r="A28" s="15">
        <v>29</v>
      </c>
      <c r="B28" s="41"/>
      <c r="C28" s="27"/>
      <c r="D28" s="41"/>
      <c r="E28" s="16"/>
      <c r="F28" s="25"/>
      <c r="G28" s="16"/>
      <c r="H28" s="25"/>
      <c r="I28" s="25"/>
      <c r="J28" s="25"/>
      <c r="K28" s="25"/>
    </row>
    <row r="29" spans="1:11" ht="39" customHeight="1">
      <c r="A29" s="25" t="s">
        <v>111</v>
      </c>
      <c r="B29" s="39" t="s">
        <v>112</v>
      </c>
      <c r="C29" s="31"/>
      <c r="D29" s="39" t="s">
        <v>113</v>
      </c>
      <c r="E29" s="31"/>
      <c r="F29" s="25" t="s">
        <v>114</v>
      </c>
      <c r="G29" s="31"/>
      <c r="H29" s="212" t="s">
        <v>119</v>
      </c>
      <c r="I29" s="213"/>
      <c r="J29" s="214"/>
      <c r="K29" s="43"/>
    </row>
    <row r="30" spans="1:11" ht="26.25" customHeight="1">
      <c r="A30" s="32" t="s">
        <v>116</v>
      </c>
      <c r="B30" s="184" t="s">
        <v>120</v>
      </c>
      <c r="C30" s="184"/>
      <c r="D30" s="184"/>
      <c r="E30" s="184"/>
      <c r="F30" s="184"/>
      <c r="G30" s="184"/>
      <c r="H30" s="184"/>
      <c r="I30" s="184"/>
      <c r="J30" s="184"/>
      <c r="K30" s="185"/>
    </row>
    <row r="31" spans="1:11" ht="26.25" customHeight="1">
      <c r="A31" s="212" t="s">
        <v>117</v>
      </c>
      <c r="B31" s="214"/>
      <c r="H31" s="212" t="s">
        <v>118</v>
      </c>
      <c r="I31" s="213"/>
      <c r="J31" s="214"/>
    </row>
  </sheetData>
  <mergeCells count="6">
    <mergeCell ref="A1:H2"/>
    <mergeCell ref="A3:H4"/>
    <mergeCell ref="H29:J29"/>
    <mergeCell ref="B30:K30"/>
    <mergeCell ref="A31:B31"/>
    <mergeCell ref="H31:J31"/>
  </mergeCells>
  <printOptions horizontalCentered="1" verticalCentered="1"/>
  <pageMargins left="0.26" right="0.15" top="0.25" bottom="0.37" header="0.17" footer="0.16"/>
  <pageSetup paperSize="9" scale="79" orientation="landscape" r:id="rId1"/>
  <headerFooter alignWithMargins="0">
    <oddFooter>&amp;LPPC&amp;CTOOL ROOM&amp;RPRODUCTION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K32"/>
  <sheetViews>
    <sheetView view="pageBreakPreview" topLeftCell="B16" zoomScaleSheetLayoutView="100" workbookViewId="0">
      <selection activeCell="B25" sqref="B25:J26"/>
    </sheetView>
  </sheetViews>
  <sheetFormatPr defaultColWidth="9.109375" defaultRowHeight="26.25" customHeight="1"/>
  <cols>
    <col min="1" max="1" width="6.109375" style="19" customWidth="1"/>
    <col min="2" max="2" width="24.109375" style="36" bestFit="1" customWidth="1"/>
    <col min="3" max="3" width="27" style="19" bestFit="1" customWidth="1"/>
    <col min="4" max="4" width="16.109375" style="36" bestFit="1" customWidth="1"/>
    <col min="5" max="5" width="17" style="19" customWidth="1"/>
    <col min="6" max="6" width="22" style="19" bestFit="1" customWidth="1"/>
    <col min="7" max="7" width="17" style="19" customWidth="1"/>
    <col min="8" max="8" width="11.6640625" style="23" bestFit="1" customWidth="1"/>
    <col min="9" max="9" width="11.6640625" style="19" hidden="1" customWidth="1"/>
    <col min="10" max="10" width="13.33203125" style="19" bestFit="1" customWidth="1"/>
    <col min="11" max="11" width="27.6640625" style="19" customWidth="1"/>
    <col min="12" max="12" width="9.109375" style="19"/>
    <col min="13" max="13" width="11.5546875" style="19" bestFit="1" customWidth="1"/>
    <col min="14" max="14" width="11.6640625" style="19" bestFit="1" customWidth="1"/>
    <col min="15" max="16384" width="9.109375" style="19"/>
  </cols>
  <sheetData>
    <row r="1" spans="1:11" ht="14.25" customHeight="1">
      <c r="A1" s="210" t="s">
        <v>115</v>
      </c>
      <c r="B1" s="210"/>
      <c r="C1" s="210"/>
      <c r="D1" s="210"/>
      <c r="E1" s="210"/>
      <c r="F1" s="210"/>
      <c r="G1" s="210"/>
      <c r="H1" s="210"/>
      <c r="I1" s="17" t="s">
        <v>0</v>
      </c>
      <c r="J1" s="17" t="s">
        <v>104</v>
      </c>
      <c r="K1" s="33"/>
    </row>
    <row r="2" spans="1:11" ht="15.75" customHeight="1">
      <c r="A2" s="210"/>
      <c r="B2" s="210"/>
      <c r="C2" s="210"/>
      <c r="D2" s="210"/>
      <c r="E2" s="210"/>
      <c r="F2" s="210"/>
      <c r="G2" s="210"/>
      <c r="H2" s="210"/>
      <c r="I2" s="17" t="s">
        <v>11</v>
      </c>
      <c r="J2" s="17" t="s">
        <v>105</v>
      </c>
      <c r="K2" s="33"/>
    </row>
    <row r="3" spans="1:11" ht="14.25" customHeight="1">
      <c r="A3" s="211" t="s">
        <v>108</v>
      </c>
      <c r="B3" s="211"/>
      <c r="C3" s="211"/>
      <c r="D3" s="211"/>
      <c r="E3" s="211"/>
      <c r="F3" s="211"/>
      <c r="G3" s="211"/>
      <c r="H3" s="211"/>
      <c r="I3" s="20" t="s">
        <v>12</v>
      </c>
      <c r="J3" s="20" t="s">
        <v>106</v>
      </c>
      <c r="K3" s="34"/>
    </row>
    <row r="4" spans="1:11" s="23" customFormat="1" ht="13.8">
      <c r="A4" s="211"/>
      <c r="B4" s="211"/>
      <c r="C4" s="211"/>
      <c r="D4" s="211"/>
      <c r="E4" s="211"/>
      <c r="F4" s="211"/>
      <c r="G4" s="211"/>
      <c r="H4" s="211"/>
      <c r="I4" s="14" t="s">
        <v>2</v>
      </c>
      <c r="J4" s="30" t="s">
        <v>107</v>
      </c>
      <c r="K4" s="22"/>
    </row>
    <row r="5" spans="1:11" s="23" customFormat="1" ht="18.75" customHeight="1">
      <c r="A5" s="15" t="s">
        <v>109</v>
      </c>
      <c r="B5" s="37" t="s">
        <v>4</v>
      </c>
      <c r="C5" s="24" t="s">
        <v>5</v>
      </c>
      <c r="D5" s="37" t="s">
        <v>110</v>
      </c>
      <c r="E5" s="24" t="s">
        <v>6</v>
      </c>
      <c r="F5" s="24" t="s">
        <v>9</v>
      </c>
      <c r="G5" s="24" t="s">
        <v>8</v>
      </c>
      <c r="H5" s="24" t="s">
        <v>7</v>
      </c>
      <c r="I5" s="24" t="s">
        <v>14</v>
      </c>
      <c r="J5" s="24" t="s">
        <v>121</v>
      </c>
      <c r="K5" s="24" t="s">
        <v>15</v>
      </c>
    </row>
    <row r="6" spans="1:11" s="23" customFormat="1" ht="20.25" customHeight="1">
      <c r="A6" s="15"/>
      <c r="B6" s="45" t="s">
        <v>153</v>
      </c>
      <c r="C6" s="25" t="s">
        <v>154</v>
      </c>
      <c r="D6" s="39" t="s">
        <v>168</v>
      </c>
      <c r="E6" s="48" t="s">
        <v>166</v>
      </c>
      <c r="F6" s="25" t="s">
        <v>156</v>
      </c>
      <c r="G6" s="16" t="s">
        <v>127</v>
      </c>
      <c r="H6" s="25">
        <v>18000</v>
      </c>
      <c r="I6" s="25"/>
      <c r="J6" s="25">
        <f>0.0647*18000</f>
        <v>1164.5999999999999</v>
      </c>
      <c r="K6" s="25" t="s">
        <v>167</v>
      </c>
    </row>
    <row r="7" spans="1:11" s="23" customFormat="1" ht="20.25" customHeight="1">
      <c r="A7" s="15"/>
      <c r="B7" s="45" t="s">
        <v>169</v>
      </c>
      <c r="C7" s="25" t="s">
        <v>175</v>
      </c>
      <c r="D7" s="39" t="s">
        <v>168</v>
      </c>
      <c r="E7" s="48" t="s">
        <v>166</v>
      </c>
      <c r="F7" s="25" t="s">
        <v>156</v>
      </c>
      <c r="G7" s="16" t="s">
        <v>127</v>
      </c>
      <c r="H7" s="16">
        <v>2000</v>
      </c>
      <c r="I7" s="16"/>
      <c r="J7" s="16">
        <f>0.0858*2000</f>
        <v>171.6</v>
      </c>
      <c r="K7" s="25"/>
    </row>
    <row r="8" spans="1:11" s="23" customFormat="1" ht="20.25" customHeight="1">
      <c r="A8" s="15"/>
      <c r="B8" s="45" t="s">
        <v>170</v>
      </c>
      <c r="C8" s="25" t="s">
        <v>176</v>
      </c>
      <c r="D8" s="39" t="s">
        <v>168</v>
      </c>
      <c r="E8" s="48" t="s">
        <v>166</v>
      </c>
      <c r="F8" s="25" t="s">
        <v>156</v>
      </c>
      <c r="G8" s="16" t="s">
        <v>127</v>
      </c>
      <c r="H8" s="25">
        <v>3000</v>
      </c>
      <c r="I8" s="25"/>
      <c r="J8" s="25">
        <f>0.0912*3000</f>
        <v>273.60000000000002</v>
      </c>
      <c r="K8" s="25"/>
    </row>
    <row r="9" spans="1:11" s="23" customFormat="1" ht="20.25" customHeight="1">
      <c r="A9" s="15"/>
      <c r="B9" s="45" t="s">
        <v>159</v>
      </c>
      <c r="C9" s="25" t="s">
        <v>161</v>
      </c>
      <c r="D9" s="39" t="s">
        <v>168</v>
      </c>
      <c r="E9" s="48" t="s">
        <v>166</v>
      </c>
      <c r="F9" s="25" t="s">
        <v>156</v>
      </c>
      <c r="G9" s="16" t="s">
        <v>127</v>
      </c>
      <c r="H9" s="25">
        <v>1200</v>
      </c>
      <c r="I9" s="25"/>
      <c r="J9" s="25">
        <f>0.0977*1200</f>
        <v>117.24</v>
      </c>
      <c r="K9" s="25"/>
    </row>
    <row r="10" spans="1:11" s="23" customFormat="1" ht="20.25" customHeight="1">
      <c r="A10" s="15"/>
      <c r="B10" s="45" t="s">
        <v>160</v>
      </c>
      <c r="C10" s="25" t="s">
        <v>162</v>
      </c>
      <c r="D10" s="39" t="s">
        <v>168</v>
      </c>
      <c r="E10" s="48" t="s">
        <v>166</v>
      </c>
      <c r="F10" s="25" t="s">
        <v>156</v>
      </c>
      <c r="G10" s="16" t="s">
        <v>127</v>
      </c>
      <c r="H10" s="25">
        <v>1200</v>
      </c>
      <c r="I10" s="25"/>
      <c r="J10" s="25">
        <f>0.1092*1200</f>
        <v>131.04000000000002</v>
      </c>
      <c r="K10" s="25"/>
    </row>
    <row r="11" spans="1:11" s="23" customFormat="1" ht="20.25" customHeight="1">
      <c r="A11" s="15"/>
      <c r="B11" s="45" t="s">
        <v>171</v>
      </c>
      <c r="C11" s="25" t="s">
        <v>177</v>
      </c>
      <c r="D11" s="39" t="s">
        <v>168</v>
      </c>
      <c r="E11" s="48" t="s">
        <v>166</v>
      </c>
      <c r="F11" s="25" t="s">
        <v>156</v>
      </c>
      <c r="G11" s="16" t="s">
        <v>127</v>
      </c>
      <c r="H11" s="54">
        <v>1200</v>
      </c>
      <c r="I11" s="25"/>
      <c r="J11" s="25">
        <f>0.14*1200</f>
        <v>168.00000000000003</v>
      </c>
      <c r="K11" s="25"/>
    </row>
    <row r="12" spans="1:11" s="23" customFormat="1" ht="20.25" customHeight="1">
      <c r="A12" s="15"/>
      <c r="B12" s="45" t="s">
        <v>174</v>
      </c>
      <c r="C12" s="25" t="s">
        <v>178</v>
      </c>
      <c r="D12" s="39" t="s">
        <v>168</v>
      </c>
      <c r="E12" s="48" t="s">
        <v>166</v>
      </c>
      <c r="F12" s="25" t="s">
        <v>156</v>
      </c>
      <c r="G12" s="16" t="s">
        <v>127</v>
      </c>
      <c r="H12" s="16">
        <v>1000</v>
      </c>
      <c r="I12" s="16"/>
      <c r="J12" s="16">
        <v>200</v>
      </c>
      <c r="K12" s="16"/>
    </row>
    <row r="13" spans="1:11" s="23" customFormat="1" ht="20.25" customHeight="1">
      <c r="A13" s="15"/>
      <c r="B13" s="45" t="s">
        <v>172</v>
      </c>
      <c r="C13" s="25" t="s">
        <v>179</v>
      </c>
      <c r="D13" s="39" t="s">
        <v>168</v>
      </c>
      <c r="E13" s="48" t="s">
        <v>166</v>
      </c>
      <c r="F13" s="25" t="s">
        <v>156</v>
      </c>
      <c r="G13" s="16" t="s">
        <v>127</v>
      </c>
      <c r="H13" s="54">
        <v>1000</v>
      </c>
      <c r="I13" s="25"/>
      <c r="J13" s="25">
        <v>200</v>
      </c>
      <c r="K13" s="25"/>
    </row>
    <row r="14" spans="1:11" s="23" customFormat="1" ht="20.25" customHeight="1">
      <c r="A14" s="15"/>
      <c r="B14" s="45" t="s">
        <v>173</v>
      </c>
      <c r="C14" s="25" t="s">
        <v>180</v>
      </c>
      <c r="D14" s="39" t="s">
        <v>168</v>
      </c>
      <c r="E14" s="48" t="s">
        <v>166</v>
      </c>
      <c r="F14" s="25" t="s">
        <v>156</v>
      </c>
      <c r="G14" s="16" t="s">
        <v>127</v>
      </c>
      <c r="H14" s="16">
        <v>1000</v>
      </c>
      <c r="I14" s="16"/>
      <c r="J14" s="16">
        <v>200</v>
      </c>
      <c r="K14" s="16"/>
    </row>
    <row r="15" spans="1:11" s="23" customFormat="1" ht="20.25" customHeight="1">
      <c r="A15" s="15"/>
      <c r="B15" s="45" t="s">
        <v>181</v>
      </c>
      <c r="C15" s="16" t="s">
        <v>182</v>
      </c>
      <c r="D15" s="35" t="s">
        <v>183</v>
      </c>
      <c r="E15" s="48" t="s">
        <v>166</v>
      </c>
      <c r="F15" s="16" t="s">
        <v>184</v>
      </c>
      <c r="G15" s="16" t="s">
        <v>127</v>
      </c>
      <c r="H15" s="54">
        <v>3000</v>
      </c>
      <c r="I15" s="25"/>
      <c r="J15" s="25"/>
      <c r="K15" s="25"/>
    </row>
    <row r="16" spans="1:11" s="23" customFormat="1" ht="20.25" customHeight="1">
      <c r="A16" s="15"/>
      <c r="B16" s="45" t="s">
        <v>185</v>
      </c>
      <c r="C16" s="25" t="s">
        <v>186</v>
      </c>
      <c r="D16" s="35" t="s">
        <v>187</v>
      </c>
      <c r="E16" s="48" t="s">
        <v>166</v>
      </c>
      <c r="F16" s="16" t="s">
        <v>184</v>
      </c>
      <c r="G16" s="16" t="s">
        <v>127</v>
      </c>
      <c r="H16" s="54">
        <v>150</v>
      </c>
      <c r="I16" s="25"/>
      <c r="J16" s="25"/>
      <c r="K16" s="25" t="s">
        <v>188</v>
      </c>
    </row>
    <row r="17" spans="1:11" s="23" customFormat="1" ht="20.25" customHeight="1">
      <c r="A17" s="15"/>
      <c r="B17" s="45" t="s">
        <v>189</v>
      </c>
      <c r="C17" s="16" t="s">
        <v>190</v>
      </c>
      <c r="D17" s="35" t="s">
        <v>183</v>
      </c>
      <c r="E17" s="48" t="s">
        <v>166</v>
      </c>
      <c r="F17" s="16" t="s">
        <v>184</v>
      </c>
      <c r="G17" s="16" t="s">
        <v>127</v>
      </c>
      <c r="H17" s="54">
        <v>2000</v>
      </c>
      <c r="I17" s="25"/>
      <c r="J17" s="25"/>
      <c r="K17" s="25"/>
    </row>
    <row r="18" spans="1:11" s="23" customFormat="1" ht="20.25" customHeight="1">
      <c r="A18" s="15"/>
      <c r="B18" s="45" t="s">
        <v>191</v>
      </c>
      <c r="C18" s="25" t="s">
        <v>196</v>
      </c>
      <c r="D18" s="35" t="s">
        <v>183</v>
      </c>
      <c r="E18" s="48" t="s">
        <v>166</v>
      </c>
      <c r="F18" s="16" t="s">
        <v>184</v>
      </c>
      <c r="G18" s="16" t="s">
        <v>127</v>
      </c>
      <c r="H18" s="16">
        <v>600</v>
      </c>
      <c r="I18" s="16"/>
      <c r="J18" s="16"/>
      <c r="K18" s="16"/>
    </row>
    <row r="19" spans="1:11" s="23" customFormat="1" ht="20.25" customHeight="1">
      <c r="A19" s="15"/>
      <c r="B19" s="45" t="s">
        <v>192</v>
      </c>
      <c r="C19" s="25" t="s">
        <v>197</v>
      </c>
      <c r="D19" s="35" t="s">
        <v>183</v>
      </c>
      <c r="E19" s="48" t="s">
        <v>166</v>
      </c>
      <c r="F19" s="16" t="s">
        <v>184</v>
      </c>
      <c r="G19" s="16" t="s">
        <v>127</v>
      </c>
      <c r="H19" s="16">
        <v>600</v>
      </c>
      <c r="I19" s="25"/>
      <c r="J19" s="25"/>
      <c r="K19" s="16"/>
    </row>
    <row r="20" spans="1:11" s="23" customFormat="1" ht="20.25" customHeight="1">
      <c r="A20" s="15"/>
      <c r="B20" s="45" t="s">
        <v>193</v>
      </c>
      <c r="C20" s="25" t="s">
        <v>198</v>
      </c>
      <c r="D20" s="35" t="s">
        <v>183</v>
      </c>
      <c r="E20" s="48" t="s">
        <v>166</v>
      </c>
      <c r="F20" s="16" t="s">
        <v>184</v>
      </c>
      <c r="G20" s="16" t="s">
        <v>127</v>
      </c>
      <c r="H20" s="16">
        <v>600</v>
      </c>
      <c r="I20" s="25"/>
      <c r="J20" s="25"/>
      <c r="K20" s="16"/>
    </row>
    <row r="21" spans="1:11" s="23" customFormat="1" ht="20.25" customHeight="1">
      <c r="A21" s="15"/>
      <c r="B21" s="45" t="s">
        <v>194</v>
      </c>
      <c r="C21" s="25" t="s">
        <v>199</v>
      </c>
      <c r="D21" s="35" t="s">
        <v>183</v>
      </c>
      <c r="E21" s="48" t="s">
        <v>166</v>
      </c>
      <c r="F21" s="16" t="s">
        <v>184</v>
      </c>
      <c r="G21" s="16" t="s">
        <v>127</v>
      </c>
      <c r="H21" s="16">
        <v>600</v>
      </c>
      <c r="I21" s="25"/>
      <c r="J21" s="25"/>
      <c r="K21" s="16"/>
    </row>
    <row r="22" spans="1:11" s="23" customFormat="1" ht="20.25" customHeight="1">
      <c r="A22" s="15"/>
      <c r="B22" s="45" t="s">
        <v>195</v>
      </c>
      <c r="C22" s="25" t="s">
        <v>200</v>
      </c>
      <c r="D22" s="35" t="s">
        <v>183</v>
      </c>
      <c r="E22" s="48" t="s">
        <v>166</v>
      </c>
      <c r="F22" s="16" t="s">
        <v>184</v>
      </c>
      <c r="G22" s="16" t="s">
        <v>127</v>
      </c>
      <c r="H22" s="16">
        <v>600</v>
      </c>
      <c r="I22" s="25"/>
      <c r="J22" s="25"/>
      <c r="K22" s="25"/>
    </row>
    <row r="23" spans="1:11" s="23" customFormat="1" ht="12.75" customHeight="1">
      <c r="A23" s="15"/>
      <c r="B23" s="53"/>
      <c r="C23" s="49"/>
      <c r="D23" s="35"/>
      <c r="E23" s="48"/>
      <c r="F23" s="16"/>
      <c r="G23" s="16" t="s">
        <v>205</v>
      </c>
      <c r="H23" s="24">
        <f>SUM(H6:H22)</f>
        <v>37750</v>
      </c>
      <c r="I23" s="25"/>
      <c r="J23" s="25"/>
      <c r="K23" s="25"/>
    </row>
    <row r="24" spans="1:11" s="23" customFormat="1" ht="12.75" customHeight="1">
      <c r="A24" s="15"/>
      <c r="B24" s="53"/>
      <c r="C24" s="49"/>
      <c r="D24" s="35"/>
      <c r="E24" s="48"/>
      <c r="F24" s="16"/>
      <c r="G24" s="16" t="s">
        <v>165</v>
      </c>
      <c r="H24" s="24">
        <f>H23+45280</f>
        <v>83030</v>
      </c>
      <c r="I24" s="25"/>
      <c r="J24" s="25"/>
      <c r="K24" s="25"/>
    </row>
    <row r="25" spans="1:11" s="23" customFormat="1" ht="43.5" customHeight="1">
      <c r="A25" s="15"/>
      <c r="B25" s="55" t="s">
        <v>201</v>
      </c>
      <c r="C25" s="32" t="s">
        <v>203</v>
      </c>
      <c r="D25" s="48" t="s">
        <v>206</v>
      </c>
      <c r="E25" s="48" t="s">
        <v>207</v>
      </c>
      <c r="F25" s="48" t="s">
        <v>204</v>
      </c>
      <c r="G25" s="52"/>
      <c r="H25" s="24"/>
      <c r="I25" s="24"/>
      <c r="J25" s="24"/>
      <c r="K25" s="24"/>
    </row>
    <row r="26" spans="1:11" s="23" customFormat="1" ht="20.25" customHeight="1">
      <c r="A26" s="15">
        <v>24</v>
      </c>
      <c r="B26" s="53" t="s">
        <v>202</v>
      </c>
      <c r="C26" s="25">
        <f>9*60*0.75*65</f>
        <v>26325</v>
      </c>
      <c r="D26" s="39">
        <f>9*10*65*60*0.75</f>
        <v>263250</v>
      </c>
      <c r="E26" s="48">
        <v>83030</v>
      </c>
      <c r="F26" s="56">
        <f>E26/C26</f>
        <v>3.1540360873694206</v>
      </c>
      <c r="G26" s="16"/>
      <c r="H26" s="25"/>
      <c r="I26" s="25"/>
      <c r="J26" s="25"/>
      <c r="K26" s="25"/>
    </row>
    <row r="27" spans="1:11" s="23" customFormat="1" ht="20.25" customHeight="1">
      <c r="A27" s="15">
        <v>25</v>
      </c>
      <c r="B27" s="53"/>
      <c r="C27" s="16"/>
      <c r="D27" s="39"/>
      <c r="E27" s="48"/>
      <c r="F27" s="16"/>
      <c r="G27" s="16"/>
      <c r="H27" s="54"/>
      <c r="I27" s="25"/>
      <c r="J27" s="25"/>
      <c r="K27" s="25"/>
    </row>
    <row r="28" spans="1:11" s="23" customFormat="1" ht="20.25" customHeight="1">
      <c r="A28" s="15">
        <v>26</v>
      </c>
      <c r="B28" s="53"/>
      <c r="C28" s="16"/>
      <c r="D28" s="39"/>
      <c r="E28" s="48"/>
      <c r="F28" s="16"/>
      <c r="G28" s="16"/>
      <c r="H28" s="16"/>
      <c r="I28" s="16"/>
      <c r="J28" s="16"/>
      <c r="K28" s="25"/>
    </row>
    <row r="29" spans="1:11" s="23" customFormat="1" ht="20.25" customHeight="1">
      <c r="A29" s="15">
        <v>27</v>
      </c>
      <c r="B29" s="41"/>
      <c r="C29" s="25"/>
      <c r="D29" s="39"/>
      <c r="E29" s="16"/>
      <c r="F29" s="25"/>
      <c r="G29" s="52"/>
      <c r="H29" s="24"/>
      <c r="I29" s="25"/>
      <c r="J29" s="25"/>
      <c r="K29" s="25"/>
    </row>
    <row r="30" spans="1:11" ht="39" customHeight="1">
      <c r="A30" s="25" t="s">
        <v>111</v>
      </c>
      <c r="B30" s="39" t="s">
        <v>112</v>
      </c>
      <c r="C30" s="31"/>
      <c r="D30" s="39" t="s">
        <v>113</v>
      </c>
      <c r="E30" s="31"/>
      <c r="F30" s="25" t="s">
        <v>114</v>
      </c>
      <c r="G30" s="31"/>
      <c r="H30" s="212" t="s">
        <v>119</v>
      </c>
      <c r="I30" s="213"/>
      <c r="J30" s="214"/>
      <c r="K30" s="43"/>
    </row>
    <row r="31" spans="1:11" ht="26.25" customHeight="1">
      <c r="A31" s="32" t="s">
        <v>116</v>
      </c>
      <c r="B31" s="184" t="s">
        <v>120</v>
      </c>
      <c r="C31" s="184"/>
      <c r="D31" s="184"/>
      <c r="E31" s="184"/>
      <c r="F31" s="184"/>
      <c r="G31" s="184"/>
      <c r="H31" s="184"/>
      <c r="I31" s="184"/>
      <c r="J31" s="184"/>
      <c r="K31" s="185"/>
    </row>
    <row r="32" spans="1:11" ht="26.25" customHeight="1">
      <c r="A32" s="212" t="s">
        <v>117</v>
      </c>
      <c r="B32" s="214"/>
      <c r="H32" s="212" t="s">
        <v>118</v>
      </c>
      <c r="I32" s="213"/>
      <c r="J32" s="214"/>
    </row>
  </sheetData>
  <mergeCells count="6">
    <mergeCell ref="A1:H2"/>
    <mergeCell ref="A3:H4"/>
    <mergeCell ref="H30:J30"/>
    <mergeCell ref="B31:K31"/>
    <mergeCell ref="A32:B32"/>
    <mergeCell ref="H32:J32"/>
  </mergeCells>
  <printOptions horizontalCentered="1" verticalCentered="1"/>
  <pageMargins left="0.26" right="0.15" top="0.25" bottom="0.37" header="0.17" footer="0.16"/>
  <pageSetup paperSize="9" scale="79" orientation="landscape" r:id="rId1"/>
  <headerFooter alignWithMargins="0">
    <oddFooter>&amp;LPPC&amp;CTOOL ROOM&amp;RPRODUCTION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L25"/>
  <sheetViews>
    <sheetView topLeftCell="A7" zoomScaleSheetLayoutView="100" workbookViewId="0">
      <selection sqref="A1:L25"/>
    </sheetView>
  </sheetViews>
  <sheetFormatPr defaultColWidth="9.109375" defaultRowHeight="26.25" customHeight="1"/>
  <cols>
    <col min="1" max="1" width="6.109375" style="23" customWidth="1"/>
    <col min="2" max="2" width="11.5546875" style="23" bestFit="1" customWidth="1"/>
    <col min="3" max="3" width="24.109375" style="23" bestFit="1" customWidth="1"/>
    <col min="4" max="4" width="27" style="23" bestFit="1" customWidth="1"/>
    <col min="5" max="5" width="16.109375" style="23" bestFit="1" customWidth="1"/>
    <col min="6" max="6" width="17" style="23" customWidth="1"/>
    <col min="7" max="7" width="22" style="23" bestFit="1" customWidth="1"/>
    <col min="8" max="8" width="17" style="23" customWidth="1"/>
    <col min="9" max="9" width="11.6640625" style="23" bestFit="1" customWidth="1"/>
    <col min="10" max="10" width="11.6640625" style="23" hidden="1" customWidth="1"/>
    <col min="11" max="11" width="13.33203125" style="23" bestFit="1" customWidth="1"/>
    <col min="12" max="12" width="27.6640625" style="23" customWidth="1"/>
    <col min="13" max="13" width="9.109375" style="23"/>
    <col min="14" max="14" width="11.5546875" style="23" bestFit="1" customWidth="1"/>
    <col min="15" max="15" width="11.6640625" style="23" bestFit="1" customWidth="1"/>
    <col min="16" max="16384" width="9.109375" style="23"/>
  </cols>
  <sheetData>
    <row r="1" spans="1:12" ht="14.25" customHeight="1">
      <c r="A1" s="210" t="s">
        <v>115</v>
      </c>
      <c r="B1" s="210"/>
      <c r="C1" s="210"/>
      <c r="D1" s="210"/>
      <c r="E1" s="210"/>
      <c r="F1" s="210"/>
      <c r="G1" s="210"/>
      <c r="H1" s="210"/>
      <c r="I1" s="210"/>
      <c r="J1" s="63" t="s">
        <v>0</v>
      </c>
      <c r="K1" s="63" t="s">
        <v>104</v>
      </c>
      <c r="L1" s="64"/>
    </row>
    <row r="2" spans="1:12" ht="15.75" customHeight="1">
      <c r="A2" s="210"/>
      <c r="B2" s="210"/>
      <c r="C2" s="210"/>
      <c r="D2" s="210"/>
      <c r="E2" s="210"/>
      <c r="F2" s="210"/>
      <c r="G2" s="210"/>
      <c r="H2" s="210"/>
      <c r="I2" s="210"/>
      <c r="J2" s="63" t="s">
        <v>11</v>
      </c>
      <c r="K2" s="63" t="s">
        <v>105</v>
      </c>
      <c r="L2" s="64"/>
    </row>
    <row r="3" spans="1:12" ht="14.25" customHeight="1">
      <c r="A3" s="215" t="s">
        <v>108</v>
      </c>
      <c r="B3" s="216"/>
      <c r="C3" s="216"/>
      <c r="D3" s="216"/>
      <c r="E3" s="216"/>
      <c r="F3" s="217"/>
      <c r="G3" s="215" t="s">
        <v>2</v>
      </c>
      <c r="H3" s="64" t="s">
        <v>212</v>
      </c>
      <c r="I3" s="62">
        <v>44856</v>
      </c>
      <c r="J3" s="24" t="s">
        <v>12</v>
      </c>
      <c r="K3" s="24" t="s">
        <v>106</v>
      </c>
      <c r="L3" s="65"/>
    </row>
    <row r="4" spans="1:12" ht="15" customHeight="1">
      <c r="A4" s="218"/>
      <c r="B4" s="219"/>
      <c r="C4" s="219"/>
      <c r="D4" s="219"/>
      <c r="E4" s="219"/>
      <c r="F4" s="220"/>
      <c r="G4" s="218"/>
      <c r="H4" s="64" t="s">
        <v>213</v>
      </c>
      <c r="I4" s="62">
        <v>44859</v>
      </c>
      <c r="J4" s="14" t="s">
        <v>2</v>
      </c>
      <c r="K4" s="30" t="s">
        <v>107</v>
      </c>
      <c r="L4" s="22"/>
    </row>
    <row r="5" spans="1:12" ht="36" customHeight="1">
      <c r="A5" s="70"/>
      <c r="B5" s="71"/>
      <c r="C5" s="221" t="s">
        <v>225</v>
      </c>
      <c r="D5" s="221"/>
      <c r="E5" s="221"/>
      <c r="F5" s="221"/>
      <c r="G5" s="221"/>
      <c r="H5" s="221"/>
      <c r="I5" s="221"/>
      <c r="J5" s="221"/>
      <c r="K5" s="221"/>
      <c r="L5" s="222"/>
    </row>
    <row r="6" spans="1:12" ht="18.75" customHeight="1">
      <c r="A6" s="15" t="s">
        <v>109</v>
      </c>
      <c r="B6" s="15" t="s">
        <v>226</v>
      </c>
      <c r="C6" s="24" t="s">
        <v>4</v>
      </c>
      <c r="D6" s="24" t="s">
        <v>5</v>
      </c>
      <c r="E6" s="24" t="s">
        <v>110</v>
      </c>
      <c r="F6" s="24" t="s">
        <v>6</v>
      </c>
      <c r="G6" s="24" t="s">
        <v>9</v>
      </c>
      <c r="H6" s="24" t="s">
        <v>8</v>
      </c>
      <c r="I6" s="24" t="s">
        <v>7</v>
      </c>
      <c r="J6" s="24" t="s">
        <v>14</v>
      </c>
      <c r="K6" s="24" t="s">
        <v>121</v>
      </c>
      <c r="L6" s="24" t="s">
        <v>15</v>
      </c>
    </row>
    <row r="7" spans="1:12" ht="18.75" customHeight="1">
      <c r="A7" s="15">
        <v>1</v>
      </c>
      <c r="B7" s="223" t="s">
        <v>240</v>
      </c>
      <c r="C7" s="79" t="s">
        <v>220</v>
      </c>
      <c r="D7" s="75" t="s">
        <v>228</v>
      </c>
      <c r="E7" s="76">
        <v>8.8000000000000007</v>
      </c>
      <c r="F7" s="77" t="s">
        <v>229</v>
      </c>
      <c r="G7" s="75" t="s">
        <v>230</v>
      </c>
      <c r="H7" s="78" t="s">
        <v>227</v>
      </c>
      <c r="I7" s="75">
        <v>10000</v>
      </c>
      <c r="J7" s="75"/>
      <c r="K7" s="75" t="s">
        <v>167</v>
      </c>
      <c r="L7" s="58"/>
    </row>
    <row r="8" spans="1:12" ht="18.75" customHeight="1">
      <c r="A8" s="15">
        <v>2</v>
      </c>
      <c r="B8" s="224"/>
      <c r="C8" s="79" t="s">
        <v>211</v>
      </c>
      <c r="D8" s="75" t="s">
        <v>241</v>
      </c>
      <c r="E8" s="76">
        <v>12.9</v>
      </c>
      <c r="F8" s="77" t="s">
        <v>242</v>
      </c>
      <c r="G8" s="75" t="s">
        <v>243</v>
      </c>
      <c r="H8" s="78" t="s">
        <v>227</v>
      </c>
      <c r="I8" s="75">
        <v>10000</v>
      </c>
      <c r="J8" s="75"/>
      <c r="K8" s="75" t="s">
        <v>167</v>
      </c>
      <c r="L8" s="58"/>
    </row>
    <row r="9" spans="1:12" ht="18.75" customHeight="1">
      <c r="A9" s="15">
        <v>3</v>
      </c>
      <c r="B9" s="224"/>
      <c r="C9" s="26" t="s">
        <v>218</v>
      </c>
      <c r="D9" s="25" t="s">
        <v>231</v>
      </c>
      <c r="E9" s="57" t="s">
        <v>232</v>
      </c>
      <c r="F9" s="48" t="s">
        <v>216</v>
      </c>
      <c r="G9" s="25" t="s">
        <v>215</v>
      </c>
      <c r="H9" s="16" t="s">
        <v>233</v>
      </c>
      <c r="I9" s="25">
        <v>39000</v>
      </c>
      <c r="J9" s="25"/>
      <c r="K9" s="25" t="s">
        <v>167</v>
      </c>
      <c r="L9" s="58" t="s">
        <v>260</v>
      </c>
    </row>
    <row r="10" spans="1:12" ht="18.75" customHeight="1">
      <c r="A10" s="15">
        <v>4</v>
      </c>
      <c r="B10" s="224"/>
      <c r="C10" s="26" t="s">
        <v>234</v>
      </c>
      <c r="D10" s="25" t="s">
        <v>235</v>
      </c>
      <c r="E10" s="57" t="s">
        <v>236</v>
      </c>
      <c r="F10" s="48" t="s">
        <v>237</v>
      </c>
      <c r="G10" s="25" t="s">
        <v>215</v>
      </c>
      <c r="H10" s="16" t="s">
        <v>233</v>
      </c>
      <c r="I10" s="25">
        <v>100000</v>
      </c>
      <c r="J10" s="25"/>
      <c r="K10" s="25" t="s">
        <v>167</v>
      </c>
      <c r="L10" s="58"/>
    </row>
    <row r="11" spans="1:12" ht="18.75" customHeight="1">
      <c r="A11" s="15">
        <v>5</v>
      </c>
      <c r="B11" s="224"/>
      <c r="C11" s="26" t="s">
        <v>238</v>
      </c>
      <c r="D11" s="25" t="s">
        <v>239</v>
      </c>
      <c r="E11" s="57" t="s">
        <v>236</v>
      </c>
      <c r="F11" s="48" t="s">
        <v>237</v>
      </c>
      <c r="G11" s="25" t="s">
        <v>215</v>
      </c>
      <c r="H11" s="16" t="s">
        <v>233</v>
      </c>
      <c r="I11" s="25">
        <v>100000</v>
      </c>
      <c r="J11" s="25"/>
      <c r="K11" s="25" t="s">
        <v>167</v>
      </c>
      <c r="L11" s="58"/>
    </row>
    <row r="12" spans="1:12" ht="18.75" customHeight="1">
      <c r="A12" s="15">
        <v>6</v>
      </c>
      <c r="B12" s="224"/>
      <c r="C12" s="26" t="s">
        <v>246</v>
      </c>
      <c r="D12" s="25" t="s">
        <v>245</v>
      </c>
      <c r="E12" s="57" t="s">
        <v>214</v>
      </c>
      <c r="F12" s="48" t="s">
        <v>244</v>
      </c>
      <c r="G12" s="25" t="s">
        <v>217</v>
      </c>
      <c r="H12" s="16" t="s">
        <v>209</v>
      </c>
      <c r="I12" s="25">
        <v>14700</v>
      </c>
      <c r="J12" s="25"/>
      <c r="K12" s="25" t="s">
        <v>48</v>
      </c>
      <c r="L12" s="58"/>
    </row>
    <row r="13" spans="1:12" ht="20.25" customHeight="1">
      <c r="A13" s="15">
        <v>7</v>
      </c>
      <c r="B13" s="224"/>
      <c r="C13" s="74" t="s">
        <v>247</v>
      </c>
      <c r="D13" s="75" t="s">
        <v>186</v>
      </c>
      <c r="E13" s="76" t="s">
        <v>214</v>
      </c>
      <c r="F13" s="77" t="s">
        <v>248</v>
      </c>
      <c r="G13" s="75" t="s">
        <v>224</v>
      </c>
      <c r="H13" s="78" t="s">
        <v>127</v>
      </c>
      <c r="I13" s="76">
        <v>1500</v>
      </c>
      <c r="J13" s="75"/>
      <c r="K13" s="75" t="s">
        <v>167</v>
      </c>
      <c r="L13" s="58"/>
    </row>
    <row r="14" spans="1:12" ht="20.25" customHeight="1">
      <c r="A14" s="15">
        <v>8</v>
      </c>
      <c r="B14" s="224"/>
      <c r="C14" s="74" t="s">
        <v>185</v>
      </c>
      <c r="D14" s="75" t="s">
        <v>186</v>
      </c>
      <c r="E14" s="76" t="s">
        <v>210</v>
      </c>
      <c r="F14" s="77" t="s">
        <v>219</v>
      </c>
      <c r="G14" s="75" t="s">
        <v>224</v>
      </c>
      <c r="H14" s="78" t="s">
        <v>127</v>
      </c>
      <c r="I14" s="76">
        <v>2200</v>
      </c>
      <c r="J14" s="75"/>
      <c r="K14" s="75" t="s">
        <v>167</v>
      </c>
      <c r="L14" s="58"/>
    </row>
    <row r="15" spans="1:12" ht="20.25" customHeight="1">
      <c r="A15" s="15">
        <v>9</v>
      </c>
      <c r="B15" s="224"/>
      <c r="C15" s="74" t="s">
        <v>222</v>
      </c>
      <c r="D15" s="75" t="s">
        <v>223</v>
      </c>
      <c r="E15" s="76" t="s">
        <v>214</v>
      </c>
      <c r="F15" s="77" t="s">
        <v>248</v>
      </c>
      <c r="G15" s="75" t="s">
        <v>224</v>
      </c>
      <c r="H15" s="78" t="s">
        <v>127</v>
      </c>
      <c r="I15" s="76">
        <v>5000</v>
      </c>
      <c r="J15" s="75"/>
      <c r="K15" s="75" t="s">
        <v>167</v>
      </c>
      <c r="L15" s="58"/>
    </row>
    <row r="16" spans="1:12" ht="20.25" hidden="1" customHeight="1">
      <c r="A16" s="15">
        <v>10</v>
      </c>
      <c r="B16" s="224"/>
      <c r="C16" s="74" t="s">
        <v>251</v>
      </c>
      <c r="D16" s="75" t="s">
        <v>253</v>
      </c>
      <c r="E16" s="76" t="s">
        <v>214</v>
      </c>
      <c r="F16" s="77" t="s">
        <v>248</v>
      </c>
      <c r="G16" s="75" t="s">
        <v>221</v>
      </c>
      <c r="H16" s="78" t="s">
        <v>127</v>
      </c>
      <c r="I16" s="76">
        <v>1000</v>
      </c>
      <c r="J16" s="75"/>
      <c r="K16" s="75" t="s">
        <v>167</v>
      </c>
      <c r="L16" s="58"/>
    </row>
    <row r="17" spans="1:12" ht="20.25" hidden="1" customHeight="1">
      <c r="A17" s="15">
        <v>11</v>
      </c>
      <c r="B17" s="224"/>
      <c r="C17" s="74" t="s">
        <v>252</v>
      </c>
      <c r="D17" s="75" t="s">
        <v>254</v>
      </c>
      <c r="E17" s="76" t="s">
        <v>210</v>
      </c>
      <c r="F17" s="77" t="s">
        <v>219</v>
      </c>
      <c r="G17" s="75" t="s">
        <v>217</v>
      </c>
      <c r="H17" s="78" t="s">
        <v>127</v>
      </c>
      <c r="I17" s="76">
        <v>2500</v>
      </c>
      <c r="J17" s="75"/>
      <c r="K17" s="75" t="s">
        <v>167</v>
      </c>
      <c r="L17" s="58"/>
    </row>
    <row r="18" spans="1:12" ht="20.25" hidden="1" customHeight="1">
      <c r="A18" s="15">
        <v>12</v>
      </c>
      <c r="B18" s="224"/>
      <c r="C18" s="74" t="s">
        <v>252</v>
      </c>
      <c r="D18" s="75" t="s">
        <v>255</v>
      </c>
      <c r="E18" s="76" t="s">
        <v>210</v>
      </c>
      <c r="F18" s="77" t="s">
        <v>219</v>
      </c>
      <c r="G18" s="75" t="s">
        <v>217</v>
      </c>
      <c r="H18" s="78" t="s">
        <v>127</v>
      </c>
      <c r="I18" s="76">
        <v>2500</v>
      </c>
      <c r="J18" s="75"/>
      <c r="K18" s="75" t="s">
        <v>167</v>
      </c>
      <c r="L18" s="58"/>
    </row>
    <row r="19" spans="1:12" ht="20.25" hidden="1" customHeight="1">
      <c r="A19" s="15">
        <v>13</v>
      </c>
      <c r="B19" s="224"/>
      <c r="C19" s="74" t="s">
        <v>252</v>
      </c>
      <c r="D19" s="75" t="s">
        <v>255</v>
      </c>
      <c r="E19" s="76" t="s">
        <v>214</v>
      </c>
      <c r="F19" s="77" t="s">
        <v>248</v>
      </c>
      <c r="G19" s="75" t="s">
        <v>217</v>
      </c>
      <c r="H19" s="78" t="s">
        <v>127</v>
      </c>
      <c r="I19" s="76">
        <v>5000</v>
      </c>
      <c r="J19" s="75"/>
      <c r="K19" s="75" t="s">
        <v>167</v>
      </c>
      <c r="L19" s="58"/>
    </row>
    <row r="20" spans="1:12" ht="20.25" customHeight="1">
      <c r="A20" s="15">
        <v>14</v>
      </c>
      <c r="B20" s="224"/>
      <c r="C20" s="74" t="s">
        <v>257</v>
      </c>
      <c r="D20" s="75" t="s">
        <v>249</v>
      </c>
      <c r="E20" s="76" t="s">
        <v>250</v>
      </c>
      <c r="F20" s="77" t="s">
        <v>244</v>
      </c>
      <c r="G20" s="75" t="s">
        <v>256</v>
      </c>
      <c r="H20" s="78" t="s">
        <v>127</v>
      </c>
      <c r="I20" s="76">
        <v>2500</v>
      </c>
      <c r="J20" s="75"/>
      <c r="K20" s="75" t="s">
        <v>167</v>
      </c>
      <c r="L20" s="58" t="s">
        <v>261</v>
      </c>
    </row>
    <row r="21" spans="1:12" ht="20.25" customHeight="1">
      <c r="A21" s="15">
        <v>15</v>
      </c>
      <c r="B21" s="225"/>
      <c r="C21" s="74" t="s">
        <v>259</v>
      </c>
      <c r="D21" s="75" t="s">
        <v>258</v>
      </c>
      <c r="E21" s="76" t="s">
        <v>250</v>
      </c>
      <c r="F21" s="77" t="s">
        <v>244</v>
      </c>
      <c r="G21" s="75" t="s">
        <v>256</v>
      </c>
      <c r="H21" s="78" t="s">
        <v>127</v>
      </c>
      <c r="I21" s="76">
        <v>3000</v>
      </c>
      <c r="J21" s="75"/>
      <c r="K21" s="75" t="s">
        <v>167</v>
      </c>
      <c r="L21" s="58"/>
    </row>
    <row r="22" spans="1:12" ht="26.25" customHeight="1">
      <c r="A22" s="15"/>
      <c r="B22" s="15"/>
      <c r="C22" s="47" t="s">
        <v>262</v>
      </c>
      <c r="D22" s="46" t="s">
        <v>263</v>
      </c>
      <c r="E22" s="54" t="s">
        <v>214</v>
      </c>
      <c r="F22" s="48" t="s">
        <v>244</v>
      </c>
      <c r="G22" s="16" t="s">
        <v>264</v>
      </c>
      <c r="H22" s="16" t="s">
        <v>265</v>
      </c>
      <c r="I22" s="25">
        <v>2500</v>
      </c>
      <c r="J22" s="25"/>
      <c r="K22" s="25" t="s">
        <v>167</v>
      </c>
      <c r="L22" s="25"/>
    </row>
    <row r="23" spans="1:12" ht="27" customHeight="1">
      <c r="A23" s="15"/>
      <c r="B23" s="15"/>
      <c r="C23" s="47"/>
      <c r="D23" s="25"/>
      <c r="E23" s="25"/>
      <c r="F23" s="48"/>
      <c r="G23" s="16"/>
      <c r="H23" s="16"/>
      <c r="I23" s="25"/>
      <c r="J23" s="25"/>
      <c r="K23" s="25"/>
      <c r="L23" s="25"/>
    </row>
    <row r="24" spans="1:12" ht="26.25" customHeight="1">
      <c r="A24" s="25" t="s">
        <v>111</v>
      </c>
      <c r="B24" s="25"/>
      <c r="C24" s="25" t="s">
        <v>112</v>
      </c>
      <c r="D24" s="25"/>
      <c r="E24" s="25" t="s">
        <v>113</v>
      </c>
      <c r="F24" s="25"/>
      <c r="G24" s="25" t="s">
        <v>114</v>
      </c>
      <c r="H24" s="25"/>
      <c r="I24" s="201" t="s">
        <v>119</v>
      </c>
      <c r="J24" s="202"/>
      <c r="K24" s="203"/>
      <c r="L24" s="72"/>
    </row>
    <row r="25" spans="1:12" ht="26.25" customHeight="1">
      <c r="A25" s="32" t="s">
        <v>116</v>
      </c>
      <c r="B25" s="73"/>
      <c r="C25" s="184" t="s">
        <v>120</v>
      </c>
      <c r="D25" s="184"/>
      <c r="E25" s="184"/>
      <c r="F25" s="184"/>
      <c r="G25" s="184"/>
      <c r="H25" s="184"/>
      <c r="I25" s="184"/>
      <c r="J25" s="184"/>
      <c r="K25" s="184"/>
      <c r="L25" s="185"/>
    </row>
  </sheetData>
  <mergeCells count="7">
    <mergeCell ref="A1:I2"/>
    <mergeCell ref="A3:F4"/>
    <mergeCell ref="G3:G4"/>
    <mergeCell ref="I24:K24"/>
    <mergeCell ref="C25:L25"/>
    <mergeCell ref="C5:L5"/>
    <mergeCell ref="B7:B21"/>
  </mergeCells>
  <printOptions horizontalCentered="1" verticalCentered="1"/>
  <pageMargins left="0.26" right="0.15" top="0.25" bottom="0.37" header="0.17" footer="0.16"/>
  <pageSetup paperSize="9" scale="7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I27"/>
  <sheetViews>
    <sheetView view="pageBreakPreview" zoomScaleSheetLayoutView="100" workbookViewId="0">
      <selection activeCell="E14" sqref="E14"/>
    </sheetView>
  </sheetViews>
  <sheetFormatPr defaultColWidth="9.109375" defaultRowHeight="26.25" customHeight="1"/>
  <cols>
    <col min="1" max="1" width="6.109375" style="1" customWidth="1"/>
    <col min="2" max="2" width="20.88671875" style="1" bestFit="1" customWidth="1"/>
    <col min="3" max="3" width="18" style="1" customWidth="1"/>
    <col min="4" max="6" width="17" style="1" customWidth="1"/>
    <col min="7" max="7" width="11.44140625" style="1" bestFit="1" customWidth="1"/>
    <col min="8" max="8" width="11.6640625" style="1" bestFit="1" customWidth="1"/>
    <col min="9" max="9" width="24.6640625" style="1" customWidth="1"/>
    <col min="10" max="11" width="9.109375" style="1"/>
    <col min="12" max="12" width="11.6640625" style="1" bestFit="1" customWidth="1"/>
    <col min="13" max="16384" width="9.109375" style="1"/>
  </cols>
  <sheetData>
    <row r="1" spans="1:9" ht="14.25" customHeight="1">
      <c r="A1" s="226" t="s">
        <v>10</v>
      </c>
      <c r="B1" s="226"/>
      <c r="C1" s="226"/>
      <c r="D1" s="226"/>
      <c r="E1" s="226"/>
      <c r="F1" s="226"/>
      <c r="G1" s="226"/>
      <c r="H1" s="11" t="s">
        <v>0</v>
      </c>
      <c r="I1" s="8" t="s">
        <v>13</v>
      </c>
    </row>
    <row r="2" spans="1:9" ht="15.75" customHeight="1">
      <c r="A2" s="226"/>
      <c r="B2" s="226"/>
      <c r="C2" s="226"/>
      <c r="D2" s="226"/>
      <c r="E2" s="226"/>
      <c r="F2" s="226"/>
      <c r="G2" s="226"/>
      <c r="H2" s="11" t="s">
        <v>11</v>
      </c>
      <c r="I2" s="8">
        <v>0</v>
      </c>
    </row>
    <row r="3" spans="1:9" ht="14.25" customHeight="1">
      <c r="A3" s="227" t="s">
        <v>1</v>
      </c>
      <c r="B3" s="227"/>
      <c r="C3" s="227"/>
      <c r="D3" s="227"/>
      <c r="E3" s="227"/>
      <c r="F3" s="227"/>
      <c r="G3" s="227"/>
      <c r="H3" s="12" t="s">
        <v>12</v>
      </c>
      <c r="I3" s="9">
        <v>43253</v>
      </c>
    </row>
    <row r="4" spans="1:9" s="2" customFormat="1" ht="15.75" customHeight="1">
      <c r="A4" s="227"/>
      <c r="B4" s="227"/>
      <c r="C4" s="227"/>
      <c r="D4" s="227"/>
      <c r="E4" s="227"/>
      <c r="F4" s="227"/>
      <c r="G4" s="227"/>
      <c r="H4" s="4" t="s">
        <v>2</v>
      </c>
      <c r="I4" s="10"/>
    </row>
    <row r="5" spans="1:9" s="2" customFormat="1" ht="18.75" customHeight="1">
      <c r="A5" s="5" t="s">
        <v>3</v>
      </c>
      <c r="B5" s="6" t="s">
        <v>4</v>
      </c>
      <c r="C5" s="6" t="s">
        <v>5</v>
      </c>
      <c r="D5" s="6" t="s">
        <v>6</v>
      </c>
      <c r="E5" s="6" t="s">
        <v>9</v>
      </c>
      <c r="F5" s="6" t="s">
        <v>8</v>
      </c>
      <c r="G5" s="6" t="s">
        <v>7</v>
      </c>
      <c r="H5" s="7"/>
      <c r="I5" s="7"/>
    </row>
    <row r="6" spans="1:9" ht="18.75" customHeight="1">
      <c r="A6" s="3">
        <v>1</v>
      </c>
      <c r="B6" s="13"/>
      <c r="C6" s="3"/>
      <c r="D6" s="3"/>
      <c r="E6" s="3"/>
      <c r="F6" s="3"/>
      <c r="G6" s="3"/>
      <c r="H6" s="3"/>
      <c r="I6" s="3"/>
    </row>
    <row r="7" spans="1:9" ht="18.75" customHeight="1">
      <c r="A7" s="3">
        <v>2</v>
      </c>
      <c r="B7" s="13"/>
      <c r="C7" s="3"/>
      <c r="D7" s="3"/>
      <c r="E7" s="3"/>
      <c r="F7" s="3"/>
      <c r="G7" s="3"/>
      <c r="H7" s="3"/>
      <c r="I7" s="3"/>
    </row>
    <row r="8" spans="1:9" ht="18.75" customHeight="1">
      <c r="A8" s="3">
        <v>3</v>
      </c>
      <c r="B8" s="13"/>
      <c r="C8" s="3"/>
      <c r="D8" s="3"/>
      <c r="E8" s="3"/>
      <c r="F8" s="3"/>
      <c r="G8" s="3"/>
      <c r="H8" s="3"/>
      <c r="I8" s="3"/>
    </row>
    <row r="9" spans="1:9" ht="18.75" customHeight="1">
      <c r="A9" s="3">
        <v>4</v>
      </c>
      <c r="B9" s="13"/>
      <c r="C9" s="3"/>
      <c r="D9" s="3"/>
      <c r="E9" s="3"/>
      <c r="F9" s="3"/>
      <c r="G9" s="3"/>
      <c r="H9" s="3"/>
      <c r="I9" s="3"/>
    </row>
    <row r="10" spans="1:9" ht="18.75" customHeight="1">
      <c r="A10" s="3">
        <v>5</v>
      </c>
      <c r="B10" s="13"/>
      <c r="C10" s="3"/>
      <c r="D10" s="3"/>
      <c r="E10" s="3"/>
      <c r="F10" s="3"/>
      <c r="G10" s="3"/>
      <c r="H10" s="3"/>
      <c r="I10" s="3"/>
    </row>
    <row r="11" spans="1:9" ht="18.75" customHeight="1">
      <c r="A11" s="3">
        <v>6</v>
      </c>
      <c r="B11" s="13"/>
      <c r="C11" s="3"/>
      <c r="D11" s="3"/>
      <c r="E11" s="3"/>
      <c r="F11" s="3"/>
      <c r="G11" s="3"/>
      <c r="H11" s="3"/>
      <c r="I11" s="3"/>
    </row>
    <row r="12" spans="1:9" ht="18.75" customHeight="1">
      <c r="A12" s="3">
        <v>7</v>
      </c>
      <c r="B12" s="13"/>
      <c r="C12" s="3"/>
      <c r="D12" s="3"/>
      <c r="E12" s="3"/>
      <c r="F12" s="3"/>
      <c r="G12" s="3"/>
      <c r="H12" s="3"/>
      <c r="I12" s="3"/>
    </row>
    <row r="13" spans="1:9" ht="18.75" customHeight="1">
      <c r="A13" s="3">
        <v>8</v>
      </c>
      <c r="B13" s="13"/>
      <c r="C13" s="3"/>
      <c r="D13" s="3"/>
      <c r="E13" s="3"/>
      <c r="F13" s="3"/>
      <c r="G13" s="3"/>
      <c r="H13" s="3"/>
      <c r="I13" s="3"/>
    </row>
    <row r="14" spans="1:9" ht="18.75" customHeight="1">
      <c r="A14" s="3">
        <v>9</v>
      </c>
      <c r="B14" s="13"/>
      <c r="C14" s="3"/>
      <c r="D14" s="3"/>
      <c r="E14" s="3"/>
      <c r="F14" s="3"/>
      <c r="G14" s="3"/>
      <c r="H14" s="3"/>
      <c r="I14" s="3"/>
    </row>
    <row r="15" spans="1:9" ht="18.75" customHeight="1">
      <c r="A15" s="3">
        <v>10</v>
      </c>
      <c r="B15" s="13"/>
      <c r="C15" s="3"/>
      <c r="D15" s="3"/>
      <c r="E15" s="3"/>
      <c r="F15" s="3"/>
      <c r="G15" s="3"/>
      <c r="H15" s="3"/>
      <c r="I15" s="3"/>
    </row>
    <row r="16" spans="1:9" ht="18.75" customHeight="1">
      <c r="A16" s="3">
        <v>11</v>
      </c>
      <c r="B16" s="13"/>
      <c r="C16" s="3"/>
      <c r="D16" s="3"/>
      <c r="E16" s="3"/>
      <c r="F16" s="3"/>
      <c r="G16" s="3"/>
      <c r="H16" s="3"/>
      <c r="I16" s="3"/>
    </row>
    <row r="17" spans="1:9" ht="18.75" customHeight="1">
      <c r="A17" s="3">
        <v>12</v>
      </c>
      <c r="B17" s="13"/>
      <c r="C17" s="3"/>
      <c r="D17" s="3"/>
      <c r="E17" s="3"/>
      <c r="F17" s="3"/>
      <c r="G17" s="3"/>
      <c r="H17" s="3"/>
      <c r="I17" s="3"/>
    </row>
    <row r="18" spans="1:9" ht="18.75" customHeight="1">
      <c r="A18" s="3">
        <v>13</v>
      </c>
      <c r="B18" s="13"/>
      <c r="C18" s="3"/>
      <c r="D18" s="3"/>
      <c r="E18" s="3"/>
      <c r="F18" s="3"/>
      <c r="G18" s="3"/>
      <c r="H18" s="3"/>
      <c r="I18" s="3"/>
    </row>
    <row r="19" spans="1:9" ht="18.75" customHeight="1">
      <c r="A19" s="3">
        <v>14</v>
      </c>
      <c r="B19" s="13"/>
      <c r="C19" s="3"/>
      <c r="D19" s="3"/>
      <c r="E19" s="3"/>
      <c r="F19" s="3"/>
      <c r="G19" s="3"/>
      <c r="H19" s="3"/>
      <c r="I19" s="3"/>
    </row>
    <row r="20" spans="1:9" ht="18.75" customHeight="1">
      <c r="A20" s="3">
        <v>15</v>
      </c>
      <c r="B20" s="13"/>
      <c r="C20" s="3"/>
      <c r="D20" s="3"/>
      <c r="E20" s="3"/>
      <c r="F20" s="3"/>
      <c r="G20" s="3"/>
      <c r="H20" s="3"/>
      <c r="I20" s="3"/>
    </row>
    <row r="21" spans="1:9" ht="18.75" customHeight="1">
      <c r="A21" s="3">
        <v>16</v>
      </c>
      <c r="B21" s="13"/>
      <c r="C21" s="13"/>
      <c r="D21" s="3"/>
      <c r="E21" s="3"/>
      <c r="F21" s="3"/>
      <c r="G21" s="3"/>
      <c r="H21" s="3"/>
      <c r="I21" s="3"/>
    </row>
    <row r="22" spans="1:9" ht="18.75" customHeight="1">
      <c r="A22" s="3">
        <v>17</v>
      </c>
      <c r="B22" s="13"/>
      <c r="C22" s="3"/>
      <c r="D22" s="3"/>
      <c r="E22" s="3"/>
      <c r="F22" s="3"/>
      <c r="G22" s="3"/>
      <c r="H22" s="3"/>
      <c r="I22" s="3"/>
    </row>
    <row r="23" spans="1:9" ht="18.75" customHeight="1">
      <c r="A23" s="3">
        <v>18</v>
      </c>
      <c r="B23" s="13"/>
      <c r="C23" s="13"/>
      <c r="D23" s="3"/>
      <c r="E23" s="3"/>
      <c r="F23" s="3"/>
      <c r="G23" s="3"/>
      <c r="H23" s="3"/>
      <c r="I23" s="3"/>
    </row>
    <row r="24" spans="1:9" ht="18.75" customHeight="1">
      <c r="A24" s="3">
        <v>19</v>
      </c>
      <c r="B24" s="13"/>
      <c r="C24" s="3"/>
      <c r="D24" s="3"/>
      <c r="E24" s="3"/>
      <c r="F24" s="3"/>
      <c r="G24" s="3"/>
      <c r="H24" s="3"/>
      <c r="I24" s="3"/>
    </row>
    <row r="25" spans="1:9" ht="18.75" customHeight="1">
      <c r="A25" s="3">
        <v>20</v>
      </c>
      <c r="B25" s="13"/>
      <c r="C25" s="3"/>
      <c r="D25" s="3"/>
      <c r="E25" s="3"/>
      <c r="F25" s="3"/>
      <c r="G25" s="3"/>
      <c r="H25" s="3"/>
      <c r="I25" s="3"/>
    </row>
    <row r="26" spans="1:9" ht="18.75" customHeight="1">
      <c r="A26" s="3">
        <v>22</v>
      </c>
      <c r="B26" s="13"/>
      <c r="C26" s="3"/>
      <c r="D26" s="3"/>
      <c r="E26" s="3"/>
      <c r="F26" s="3"/>
      <c r="G26" s="3"/>
      <c r="H26" s="3"/>
      <c r="I26" s="3"/>
    </row>
    <row r="27" spans="1:9" ht="18.75" customHeight="1">
      <c r="A27" s="3">
        <v>23</v>
      </c>
      <c r="B27" s="13"/>
      <c r="C27" s="3"/>
      <c r="D27" s="3"/>
      <c r="E27" s="3"/>
      <c r="F27" s="3"/>
      <c r="G27" s="3"/>
      <c r="H27" s="3"/>
      <c r="I27" s="3"/>
    </row>
  </sheetData>
  <mergeCells count="2">
    <mergeCell ref="A1:G2"/>
    <mergeCell ref="A3:G4"/>
  </mergeCells>
  <printOptions horizontalCentered="1" verticalCentered="1"/>
  <pageMargins left="0.26" right="0.15" top="0.25" bottom="0.37" header="0.17" footer="0.16"/>
  <pageSetup paperSize="9" scale="94" orientation="landscape" r:id="rId1"/>
  <headerFooter alignWithMargins="0">
    <oddFooter>&amp;LPPC&amp;CTOOL ROOM&amp;RPRODUCTION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I28"/>
  <sheetViews>
    <sheetView view="pageBreakPreview" topLeftCell="A13" zoomScaleSheetLayoutView="100" workbookViewId="0">
      <selection activeCell="I24" sqref="I24"/>
    </sheetView>
  </sheetViews>
  <sheetFormatPr defaultColWidth="9.109375" defaultRowHeight="26.25" customHeight="1"/>
  <cols>
    <col min="1" max="1" width="6.109375" style="19" customWidth="1"/>
    <col min="2" max="2" width="24.109375" style="19" bestFit="1" customWidth="1"/>
    <col min="3" max="3" width="24.33203125" style="19" bestFit="1" customWidth="1"/>
    <col min="4" max="4" width="17" style="19" customWidth="1"/>
    <col min="5" max="5" width="22" style="19" bestFit="1" customWidth="1"/>
    <col min="6" max="6" width="17" style="19" customWidth="1"/>
    <col min="7" max="7" width="11.6640625" style="19" bestFit="1" customWidth="1"/>
    <col min="8" max="8" width="11.6640625" style="19" hidden="1" customWidth="1"/>
    <col min="9" max="9" width="27.6640625" style="19" customWidth="1"/>
    <col min="10" max="10" width="9.109375" style="19"/>
    <col min="11" max="11" width="11.5546875" style="19" bestFit="1" customWidth="1"/>
    <col min="12" max="12" width="11.6640625" style="19" bestFit="1" customWidth="1"/>
    <col min="13" max="16384" width="9.109375" style="19"/>
  </cols>
  <sheetData>
    <row r="1" spans="1:9" ht="14.25" customHeight="1">
      <c r="A1" s="210" t="s">
        <v>10</v>
      </c>
      <c r="B1" s="210"/>
      <c r="C1" s="210"/>
      <c r="D1" s="210"/>
      <c r="E1" s="210"/>
      <c r="F1" s="210"/>
      <c r="G1" s="210"/>
      <c r="H1" s="17" t="s">
        <v>0</v>
      </c>
      <c r="I1" s="18" t="s">
        <v>13</v>
      </c>
    </row>
    <row r="2" spans="1:9" ht="15.75" customHeight="1">
      <c r="A2" s="210"/>
      <c r="B2" s="210"/>
      <c r="C2" s="210"/>
      <c r="D2" s="210"/>
      <c r="E2" s="210"/>
      <c r="F2" s="210"/>
      <c r="G2" s="210"/>
      <c r="H2" s="17" t="s">
        <v>11</v>
      </c>
      <c r="I2" s="18">
        <v>0</v>
      </c>
    </row>
    <row r="3" spans="1:9" ht="14.25" customHeight="1">
      <c r="A3" s="211" t="s">
        <v>1</v>
      </c>
      <c r="B3" s="211"/>
      <c r="C3" s="211"/>
      <c r="D3" s="211"/>
      <c r="E3" s="211"/>
      <c r="F3" s="211"/>
      <c r="G3" s="211"/>
      <c r="H3" s="20" t="s">
        <v>12</v>
      </c>
      <c r="I3" s="21">
        <v>43262</v>
      </c>
    </row>
    <row r="4" spans="1:9" s="23" customFormat="1" ht="13.8">
      <c r="A4" s="211"/>
      <c r="B4" s="211"/>
      <c r="C4" s="211"/>
      <c r="D4" s="211"/>
      <c r="E4" s="211"/>
      <c r="F4" s="211"/>
      <c r="G4" s="211"/>
      <c r="H4" s="14" t="s">
        <v>2</v>
      </c>
      <c r="I4" s="22">
        <v>44417</v>
      </c>
    </row>
    <row r="5" spans="1:9" s="23" customFormat="1" ht="18.75" customHeight="1">
      <c r="A5" s="15" t="s">
        <v>3</v>
      </c>
      <c r="B5" s="24" t="s">
        <v>4</v>
      </c>
      <c r="C5" s="24" t="s">
        <v>5</v>
      </c>
      <c r="D5" s="24" t="s">
        <v>6</v>
      </c>
      <c r="E5" s="24" t="s">
        <v>9</v>
      </c>
      <c r="F5" s="24" t="s">
        <v>8</v>
      </c>
      <c r="G5" s="24" t="s">
        <v>7</v>
      </c>
      <c r="H5" s="24" t="s">
        <v>14</v>
      </c>
      <c r="I5" s="24" t="s">
        <v>15</v>
      </c>
    </row>
    <row r="6" spans="1:9" s="23" customFormat="1" ht="20.25" customHeight="1">
      <c r="A6" s="25">
        <v>1</v>
      </c>
      <c r="B6" s="27">
        <v>311035110</v>
      </c>
      <c r="C6" s="16" t="s">
        <v>21</v>
      </c>
      <c r="D6" s="16" t="s">
        <v>25</v>
      </c>
      <c r="E6" s="16" t="s">
        <v>34</v>
      </c>
      <c r="F6" s="16" t="s">
        <v>17</v>
      </c>
      <c r="G6" s="16">
        <v>25000</v>
      </c>
      <c r="H6" s="16"/>
      <c r="I6" s="16" t="s">
        <v>28</v>
      </c>
    </row>
    <row r="7" spans="1:9" s="23" customFormat="1" ht="20.25" customHeight="1">
      <c r="A7" s="25">
        <v>2</v>
      </c>
      <c r="B7" s="27">
        <v>311035910</v>
      </c>
      <c r="C7" s="16" t="s">
        <v>21</v>
      </c>
      <c r="D7" s="16" t="s">
        <v>25</v>
      </c>
      <c r="E7" s="16" t="s">
        <v>34</v>
      </c>
      <c r="F7" s="16" t="s">
        <v>17</v>
      </c>
      <c r="G7" s="16">
        <v>15000</v>
      </c>
      <c r="H7" s="16"/>
      <c r="I7" s="16"/>
    </row>
    <row r="8" spans="1:9" s="23" customFormat="1" ht="20.25" customHeight="1">
      <c r="A8" s="25">
        <v>3</v>
      </c>
      <c r="B8" s="27">
        <v>311036010</v>
      </c>
      <c r="C8" s="16" t="s">
        <v>21</v>
      </c>
      <c r="D8" s="16" t="s">
        <v>25</v>
      </c>
      <c r="E8" s="16" t="s">
        <v>34</v>
      </c>
      <c r="F8" s="16" t="s">
        <v>17</v>
      </c>
      <c r="G8" s="16">
        <v>10000</v>
      </c>
      <c r="H8" s="16"/>
      <c r="I8" s="16"/>
    </row>
    <row r="9" spans="1:9" s="23" customFormat="1" ht="20.25" customHeight="1">
      <c r="A9" s="25">
        <v>4</v>
      </c>
      <c r="B9" s="27" t="s">
        <v>72</v>
      </c>
      <c r="C9" s="16" t="s">
        <v>73</v>
      </c>
      <c r="D9" s="16" t="s">
        <v>38</v>
      </c>
      <c r="E9" s="16" t="s">
        <v>39</v>
      </c>
      <c r="F9" s="16" t="s">
        <v>17</v>
      </c>
      <c r="G9" s="16">
        <v>40000</v>
      </c>
      <c r="H9" s="16"/>
      <c r="I9" s="16"/>
    </row>
    <row r="10" spans="1:9" s="23" customFormat="1" ht="20.25" customHeight="1">
      <c r="A10" s="25">
        <v>5</v>
      </c>
      <c r="B10" s="27">
        <v>321060410</v>
      </c>
      <c r="C10" s="16" t="s">
        <v>21</v>
      </c>
      <c r="D10" s="16" t="s">
        <v>25</v>
      </c>
      <c r="E10" s="16" t="s">
        <v>41</v>
      </c>
      <c r="F10" s="16" t="s">
        <v>16</v>
      </c>
      <c r="G10" s="16">
        <v>20000</v>
      </c>
      <c r="H10" s="16"/>
      <c r="I10" s="16" t="s">
        <v>28</v>
      </c>
    </row>
    <row r="11" spans="1:9" s="23" customFormat="1" ht="20.25" customHeight="1">
      <c r="A11" s="25">
        <v>6</v>
      </c>
      <c r="B11" s="27">
        <v>321060010</v>
      </c>
      <c r="C11" s="16" t="s">
        <v>21</v>
      </c>
      <c r="D11" s="16" t="s">
        <v>25</v>
      </c>
      <c r="E11" s="16" t="s">
        <v>59</v>
      </c>
      <c r="F11" s="16" t="s">
        <v>16</v>
      </c>
      <c r="G11" s="16">
        <v>10000</v>
      </c>
      <c r="H11" s="16"/>
      <c r="I11" s="16"/>
    </row>
    <row r="12" spans="1:9" s="23" customFormat="1" ht="20.25" customHeight="1">
      <c r="A12" s="25">
        <v>7</v>
      </c>
      <c r="B12" s="27" t="s">
        <v>58</v>
      </c>
      <c r="C12" s="16" t="s">
        <v>21</v>
      </c>
      <c r="D12" s="16" t="s">
        <v>27</v>
      </c>
      <c r="E12" s="16" t="s">
        <v>60</v>
      </c>
      <c r="F12" s="16" t="s">
        <v>16</v>
      </c>
      <c r="G12" s="16">
        <v>12000</v>
      </c>
      <c r="H12" s="16"/>
      <c r="I12" s="16"/>
    </row>
    <row r="13" spans="1:9" s="23" customFormat="1" ht="20.25" customHeight="1">
      <c r="A13" s="25">
        <v>8</v>
      </c>
      <c r="B13" s="27">
        <v>3210215510</v>
      </c>
      <c r="C13" s="16" t="s">
        <v>21</v>
      </c>
      <c r="D13" s="16" t="s">
        <v>25</v>
      </c>
      <c r="E13" s="16" t="s">
        <v>43</v>
      </c>
      <c r="F13" s="16" t="s">
        <v>18</v>
      </c>
      <c r="G13" s="16">
        <v>10000</v>
      </c>
      <c r="H13" s="16"/>
      <c r="I13" s="16" t="s">
        <v>28</v>
      </c>
    </row>
    <row r="14" spans="1:9" s="23" customFormat="1" ht="20.25" customHeight="1">
      <c r="A14" s="25">
        <v>9</v>
      </c>
      <c r="B14" s="27" t="s">
        <v>61</v>
      </c>
      <c r="C14" s="16" t="s">
        <v>62</v>
      </c>
      <c r="D14" s="16" t="s">
        <v>63</v>
      </c>
      <c r="E14" s="16" t="s">
        <v>64</v>
      </c>
      <c r="F14" s="16" t="s">
        <v>18</v>
      </c>
      <c r="G14" s="16">
        <v>20000</v>
      </c>
      <c r="H14" s="16"/>
      <c r="I14" s="16"/>
    </row>
    <row r="15" spans="1:9" s="23" customFormat="1" ht="20.25" customHeight="1">
      <c r="A15" s="25">
        <v>10</v>
      </c>
      <c r="B15" s="27" t="s">
        <v>74</v>
      </c>
      <c r="C15" s="16" t="s">
        <v>75</v>
      </c>
      <c r="D15" s="16" t="s">
        <v>63</v>
      </c>
      <c r="E15" s="16" t="s">
        <v>64</v>
      </c>
      <c r="F15" s="16" t="s">
        <v>18</v>
      </c>
      <c r="G15" s="16">
        <v>20000</v>
      </c>
      <c r="H15" s="16"/>
      <c r="I15" s="16"/>
    </row>
    <row r="16" spans="1:9" s="23" customFormat="1" ht="20.25" customHeight="1">
      <c r="A16" s="25">
        <v>11</v>
      </c>
      <c r="B16" s="27" t="s">
        <v>76</v>
      </c>
      <c r="C16" s="16" t="s">
        <v>77</v>
      </c>
      <c r="D16" s="16" t="s">
        <v>63</v>
      </c>
      <c r="E16" s="16" t="s">
        <v>64</v>
      </c>
      <c r="F16" s="16" t="s">
        <v>18</v>
      </c>
      <c r="G16" s="16">
        <v>6000</v>
      </c>
      <c r="H16" s="16"/>
      <c r="I16" s="16"/>
    </row>
    <row r="17" spans="1:9" s="23" customFormat="1" ht="20.25" customHeight="1">
      <c r="A17" s="25">
        <v>12</v>
      </c>
      <c r="B17" s="27" t="s">
        <v>49</v>
      </c>
      <c r="C17" s="16" t="s">
        <v>51</v>
      </c>
      <c r="D17" s="16" t="s">
        <v>53</v>
      </c>
      <c r="E17" s="16" t="s">
        <v>54</v>
      </c>
      <c r="F17" s="16" t="s">
        <v>19</v>
      </c>
      <c r="G17" s="16">
        <v>30000</v>
      </c>
      <c r="H17" s="16"/>
      <c r="I17" s="16" t="s">
        <v>28</v>
      </c>
    </row>
    <row r="18" spans="1:9" s="23" customFormat="1" ht="20.25" customHeight="1">
      <c r="A18" s="25">
        <v>13</v>
      </c>
      <c r="B18" s="27" t="s">
        <v>50</v>
      </c>
      <c r="C18" s="16" t="s">
        <v>52</v>
      </c>
      <c r="D18" s="16" t="s">
        <v>53</v>
      </c>
      <c r="E18" s="16" t="s">
        <v>54</v>
      </c>
      <c r="F18" s="16" t="s">
        <v>19</v>
      </c>
      <c r="G18" s="16">
        <v>30000</v>
      </c>
      <c r="H18" s="16"/>
      <c r="I18" s="16"/>
    </row>
    <row r="19" spans="1:9" s="23" customFormat="1" ht="20.25" customHeight="1">
      <c r="A19" s="25">
        <v>14</v>
      </c>
      <c r="B19" s="27" t="s">
        <v>65</v>
      </c>
      <c r="C19" s="16" t="s">
        <v>66</v>
      </c>
      <c r="D19" s="16" t="s">
        <v>44</v>
      </c>
      <c r="E19" s="16" t="s">
        <v>67</v>
      </c>
      <c r="F19" s="16" t="s">
        <v>19</v>
      </c>
      <c r="G19" s="16">
        <v>30000</v>
      </c>
      <c r="H19" s="16"/>
      <c r="I19" s="16"/>
    </row>
    <row r="20" spans="1:9" s="23" customFormat="1" ht="20.25" customHeight="1">
      <c r="A20" s="25">
        <v>15</v>
      </c>
      <c r="B20" s="27">
        <v>801017000</v>
      </c>
      <c r="C20" s="16" t="s">
        <v>68</v>
      </c>
      <c r="D20" s="16" t="s">
        <v>69</v>
      </c>
      <c r="E20" s="16" t="s">
        <v>70</v>
      </c>
      <c r="F20" s="16" t="s">
        <v>19</v>
      </c>
      <c r="G20" s="16">
        <v>20000</v>
      </c>
      <c r="H20" s="16"/>
      <c r="I20" s="16"/>
    </row>
    <row r="21" spans="1:9" s="23" customFormat="1" ht="20.25" customHeight="1">
      <c r="A21" s="25">
        <v>16</v>
      </c>
      <c r="B21" s="26" t="s">
        <v>35</v>
      </c>
      <c r="C21" s="28" t="s">
        <v>29</v>
      </c>
      <c r="D21" s="16" t="s">
        <v>27</v>
      </c>
      <c r="E21" s="16" t="s">
        <v>36</v>
      </c>
      <c r="F21" s="16" t="s">
        <v>20</v>
      </c>
      <c r="G21" s="16">
        <v>60000</v>
      </c>
      <c r="H21" s="16"/>
      <c r="I21" s="16" t="s">
        <v>28</v>
      </c>
    </row>
    <row r="22" spans="1:9" s="23" customFormat="1" ht="20.25" customHeight="1">
      <c r="A22" s="25">
        <v>17</v>
      </c>
      <c r="B22" s="27" t="s">
        <v>45</v>
      </c>
      <c r="C22" s="25" t="s">
        <v>46</v>
      </c>
      <c r="D22" s="16" t="s">
        <v>22</v>
      </c>
      <c r="E22" s="25" t="s">
        <v>47</v>
      </c>
      <c r="F22" s="16" t="s">
        <v>31</v>
      </c>
      <c r="G22" s="25">
        <v>10000</v>
      </c>
      <c r="H22" s="25"/>
      <c r="I22" s="25" t="s">
        <v>71</v>
      </c>
    </row>
    <row r="23" spans="1:9" s="23" customFormat="1" ht="20.25" customHeight="1">
      <c r="A23" s="25">
        <v>18</v>
      </c>
      <c r="B23" s="27" t="s">
        <v>78</v>
      </c>
      <c r="C23" s="25" t="s">
        <v>79</v>
      </c>
      <c r="D23" s="16" t="s">
        <v>80</v>
      </c>
      <c r="E23" s="25" t="s">
        <v>81</v>
      </c>
      <c r="F23" s="16" t="s">
        <v>31</v>
      </c>
      <c r="G23" s="25">
        <v>200000</v>
      </c>
      <c r="H23" s="25"/>
      <c r="I23" s="25"/>
    </row>
    <row r="24" spans="1:9" s="23" customFormat="1" ht="20.25" customHeight="1">
      <c r="A24" s="25">
        <v>19</v>
      </c>
      <c r="B24" s="27" t="s">
        <v>82</v>
      </c>
      <c r="C24" s="25" t="s">
        <v>83</v>
      </c>
      <c r="D24" s="16" t="s">
        <v>80</v>
      </c>
      <c r="E24" s="25" t="s">
        <v>81</v>
      </c>
      <c r="F24" s="16" t="s">
        <v>31</v>
      </c>
      <c r="G24" s="25">
        <v>200000</v>
      </c>
      <c r="H24" s="25"/>
      <c r="I24" s="25"/>
    </row>
    <row r="25" spans="1:9" s="23" customFormat="1" ht="20.25" customHeight="1">
      <c r="A25" s="25">
        <v>20</v>
      </c>
      <c r="B25" s="27" t="s">
        <v>55</v>
      </c>
      <c r="C25" s="25" t="s">
        <v>57</v>
      </c>
      <c r="D25" s="16" t="s">
        <v>22</v>
      </c>
      <c r="E25" s="25" t="s">
        <v>30</v>
      </c>
      <c r="F25" s="16" t="s">
        <v>24</v>
      </c>
      <c r="G25" s="25">
        <v>400000</v>
      </c>
      <c r="H25" s="25"/>
      <c r="I25" s="25" t="s">
        <v>28</v>
      </c>
    </row>
    <row r="26" spans="1:9" s="23" customFormat="1" ht="20.25" customHeight="1">
      <c r="A26" s="25">
        <v>21</v>
      </c>
      <c r="B26" s="27" t="s">
        <v>56</v>
      </c>
      <c r="C26" s="25" t="s">
        <v>33</v>
      </c>
      <c r="D26" s="16" t="s">
        <v>22</v>
      </c>
      <c r="E26" s="25" t="s">
        <v>30</v>
      </c>
      <c r="F26" s="16" t="s">
        <v>24</v>
      </c>
      <c r="G26" s="25">
        <v>400000</v>
      </c>
      <c r="H26" s="25"/>
      <c r="I26" s="25"/>
    </row>
    <row r="27" spans="1:9" s="23" customFormat="1" ht="20.25" customHeight="1">
      <c r="A27" s="25">
        <v>22</v>
      </c>
      <c r="B27" s="27" t="s">
        <v>32</v>
      </c>
      <c r="C27" s="25" t="s">
        <v>26</v>
      </c>
      <c r="D27" s="16" t="s">
        <v>22</v>
      </c>
      <c r="E27" s="25" t="s">
        <v>30</v>
      </c>
      <c r="F27" s="16" t="s">
        <v>23</v>
      </c>
      <c r="G27" s="25">
        <v>200000</v>
      </c>
      <c r="H27" s="25"/>
      <c r="I27" s="25" t="s">
        <v>28</v>
      </c>
    </row>
    <row r="28" spans="1:9" s="23" customFormat="1" ht="20.25" customHeight="1">
      <c r="A28" s="25"/>
      <c r="B28" s="27"/>
      <c r="C28" s="25"/>
      <c r="D28" s="16"/>
      <c r="E28" s="25"/>
      <c r="F28" s="16"/>
      <c r="G28" s="25"/>
      <c r="H28" s="25"/>
      <c r="I28" s="25"/>
    </row>
  </sheetData>
  <mergeCells count="2">
    <mergeCell ref="A1:G2"/>
    <mergeCell ref="A3:G4"/>
  </mergeCells>
  <printOptions horizontalCentered="1" verticalCentered="1"/>
  <pageMargins left="0.26" right="0.15" top="0.25" bottom="0.37" header="0.17" footer="0.16"/>
  <pageSetup paperSize="9" scale="95" orientation="landscape" r:id="rId1"/>
  <headerFooter alignWithMargins="0">
    <oddFooter>&amp;LPPC&amp;CTOOL ROOM&amp;RPRODUCTION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I25"/>
  <sheetViews>
    <sheetView view="pageBreakPreview" topLeftCell="A13" zoomScaleSheetLayoutView="100" workbookViewId="0">
      <selection activeCell="A6" sqref="A6:XFD6"/>
    </sheetView>
  </sheetViews>
  <sheetFormatPr defaultColWidth="9.109375" defaultRowHeight="26.25" customHeight="1"/>
  <cols>
    <col min="1" max="1" width="6.109375" style="19" customWidth="1"/>
    <col min="2" max="2" width="24.109375" style="19" bestFit="1" customWidth="1"/>
    <col min="3" max="3" width="27.88671875" style="19" bestFit="1" customWidth="1"/>
    <col min="4" max="4" width="17" style="19" customWidth="1"/>
    <col min="5" max="5" width="22" style="19" bestFit="1" customWidth="1"/>
    <col min="6" max="6" width="17" style="19" customWidth="1"/>
    <col min="7" max="7" width="11.6640625" style="19" bestFit="1" customWidth="1"/>
    <col min="8" max="8" width="11.6640625" style="19" hidden="1" customWidth="1"/>
    <col min="9" max="9" width="27.6640625" style="19" customWidth="1"/>
    <col min="10" max="10" width="9.109375" style="19"/>
    <col min="11" max="11" width="11.5546875" style="19" bestFit="1" customWidth="1"/>
    <col min="12" max="12" width="11.6640625" style="19" bestFit="1" customWidth="1"/>
    <col min="13" max="16384" width="9.109375" style="19"/>
  </cols>
  <sheetData>
    <row r="1" spans="1:9" ht="14.25" customHeight="1">
      <c r="A1" s="210" t="s">
        <v>10</v>
      </c>
      <c r="B1" s="210"/>
      <c r="C1" s="210"/>
      <c r="D1" s="210"/>
      <c r="E1" s="210"/>
      <c r="F1" s="210"/>
      <c r="G1" s="210"/>
      <c r="H1" s="17" t="s">
        <v>0</v>
      </c>
      <c r="I1" s="18" t="s">
        <v>13</v>
      </c>
    </row>
    <row r="2" spans="1:9" ht="15.75" customHeight="1">
      <c r="A2" s="210"/>
      <c r="B2" s="210"/>
      <c r="C2" s="210"/>
      <c r="D2" s="210"/>
      <c r="E2" s="210"/>
      <c r="F2" s="210"/>
      <c r="G2" s="210"/>
      <c r="H2" s="17" t="s">
        <v>11</v>
      </c>
      <c r="I2" s="18">
        <v>0</v>
      </c>
    </row>
    <row r="3" spans="1:9" ht="14.25" customHeight="1">
      <c r="A3" s="211" t="s">
        <v>1</v>
      </c>
      <c r="B3" s="211"/>
      <c r="C3" s="211"/>
      <c r="D3" s="211"/>
      <c r="E3" s="211"/>
      <c r="F3" s="211"/>
      <c r="G3" s="211"/>
      <c r="H3" s="20" t="s">
        <v>12</v>
      </c>
      <c r="I3" s="21">
        <v>43262</v>
      </c>
    </row>
    <row r="4" spans="1:9" s="23" customFormat="1" ht="13.8">
      <c r="A4" s="211"/>
      <c r="B4" s="211"/>
      <c r="C4" s="211"/>
      <c r="D4" s="211"/>
      <c r="E4" s="211"/>
      <c r="F4" s="211"/>
      <c r="G4" s="211"/>
      <c r="H4" s="14" t="s">
        <v>2</v>
      </c>
      <c r="I4" s="22">
        <v>44420</v>
      </c>
    </row>
    <row r="5" spans="1:9" s="23" customFormat="1" ht="18.75" customHeight="1">
      <c r="A5" s="15" t="s">
        <v>3</v>
      </c>
      <c r="B5" s="24" t="s">
        <v>4</v>
      </c>
      <c r="C5" s="24" t="s">
        <v>5</v>
      </c>
      <c r="D5" s="24" t="s">
        <v>6</v>
      </c>
      <c r="E5" s="24" t="s">
        <v>9</v>
      </c>
      <c r="F5" s="24" t="s">
        <v>8</v>
      </c>
      <c r="G5" s="24" t="s">
        <v>7</v>
      </c>
      <c r="H5" s="24" t="s">
        <v>14</v>
      </c>
      <c r="I5" s="24" t="s">
        <v>15</v>
      </c>
    </row>
    <row r="6" spans="1:9" s="23" customFormat="1" ht="20.25" customHeight="1">
      <c r="A6" s="25">
        <v>1</v>
      </c>
      <c r="B6" s="27">
        <v>311036010</v>
      </c>
      <c r="C6" s="16" t="s">
        <v>21</v>
      </c>
      <c r="D6" s="16" t="s">
        <v>25</v>
      </c>
      <c r="E6" s="16" t="s">
        <v>34</v>
      </c>
      <c r="F6" s="16" t="s">
        <v>17</v>
      </c>
      <c r="G6" s="16">
        <v>20000</v>
      </c>
      <c r="H6" s="16"/>
      <c r="I6" s="16" t="s">
        <v>28</v>
      </c>
    </row>
    <row r="7" spans="1:9" s="23" customFormat="1" ht="20.25" customHeight="1">
      <c r="A7" s="25">
        <v>2</v>
      </c>
      <c r="B7" s="27" t="s">
        <v>72</v>
      </c>
      <c r="C7" s="16" t="s">
        <v>73</v>
      </c>
      <c r="D7" s="16" t="s">
        <v>38</v>
      </c>
      <c r="E7" s="16" t="s">
        <v>39</v>
      </c>
      <c r="F7" s="16" t="s">
        <v>17</v>
      </c>
      <c r="G7" s="16">
        <v>60000</v>
      </c>
      <c r="H7" s="16"/>
      <c r="I7" s="16"/>
    </row>
    <row r="8" spans="1:9" s="23" customFormat="1" ht="20.25" customHeight="1">
      <c r="A8" s="25">
        <v>3</v>
      </c>
      <c r="B8" s="27" t="s">
        <v>40</v>
      </c>
      <c r="C8" s="16" t="s">
        <v>37</v>
      </c>
      <c r="D8" s="16" t="s">
        <v>38</v>
      </c>
      <c r="E8" s="16" t="s">
        <v>39</v>
      </c>
      <c r="F8" s="16" t="s">
        <v>17</v>
      </c>
      <c r="G8" s="16">
        <v>40000</v>
      </c>
      <c r="H8" s="16"/>
      <c r="I8" s="16"/>
    </row>
    <row r="9" spans="1:9" s="23" customFormat="1" ht="20.25" customHeight="1">
      <c r="A9" s="25">
        <v>4</v>
      </c>
      <c r="B9" s="27" t="s">
        <v>84</v>
      </c>
      <c r="C9" s="16" t="s">
        <v>21</v>
      </c>
      <c r="D9" s="16" t="s">
        <v>27</v>
      </c>
      <c r="E9" s="16" t="s">
        <v>85</v>
      </c>
      <c r="F9" s="16" t="s">
        <v>16</v>
      </c>
      <c r="G9" s="16">
        <v>100000</v>
      </c>
      <c r="H9" s="16"/>
      <c r="I9" s="16" t="s">
        <v>28</v>
      </c>
    </row>
    <row r="10" spans="1:9" s="23" customFormat="1" ht="20.25" customHeight="1">
      <c r="A10" s="25">
        <v>5</v>
      </c>
      <c r="B10" s="27" t="s">
        <v>58</v>
      </c>
      <c r="C10" s="16" t="s">
        <v>21</v>
      </c>
      <c r="D10" s="16" t="s">
        <v>27</v>
      </c>
      <c r="E10" s="16" t="s">
        <v>60</v>
      </c>
      <c r="F10" s="16" t="s">
        <v>16</v>
      </c>
      <c r="G10" s="16">
        <v>12000</v>
      </c>
      <c r="H10" s="16"/>
      <c r="I10" s="16"/>
    </row>
    <row r="11" spans="1:9" s="23" customFormat="1" ht="20.25" customHeight="1">
      <c r="A11" s="25">
        <v>6</v>
      </c>
      <c r="B11" s="27" t="s">
        <v>74</v>
      </c>
      <c r="C11" s="16" t="s">
        <v>75</v>
      </c>
      <c r="D11" s="16" t="s">
        <v>63</v>
      </c>
      <c r="E11" s="16" t="s">
        <v>64</v>
      </c>
      <c r="F11" s="16" t="s">
        <v>18</v>
      </c>
      <c r="G11" s="16">
        <v>20000</v>
      </c>
      <c r="H11" s="16"/>
      <c r="I11" s="16" t="s">
        <v>28</v>
      </c>
    </row>
    <row r="12" spans="1:9" s="23" customFormat="1" ht="20.25" customHeight="1">
      <c r="A12" s="25">
        <v>7</v>
      </c>
      <c r="B12" s="27" t="s">
        <v>76</v>
      </c>
      <c r="C12" s="16" t="s">
        <v>77</v>
      </c>
      <c r="D12" s="16" t="s">
        <v>63</v>
      </c>
      <c r="E12" s="16" t="s">
        <v>64</v>
      </c>
      <c r="F12" s="16" t="s">
        <v>18</v>
      </c>
      <c r="G12" s="16">
        <v>6000</v>
      </c>
      <c r="H12" s="16"/>
      <c r="I12" s="16"/>
    </row>
    <row r="13" spans="1:9" s="23" customFormat="1" ht="20.25" customHeight="1">
      <c r="A13" s="25">
        <v>8</v>
      </c>
      <c r="B13" s="27" t="s">
        <v>86</v>
      </c>
      <c r="C13" s="16" t="s">
        <v>29</v>
      </c>
      <c r="D13" s="16" t="s">
        <v>25</v>
      </c>
      <c r="E13" s="16" t="s">
        <v>87</v>
      </c>
      <c r="F13" s="16" t="s">
        <v>18</v>
      </c>
      <c r="G13" s="16">
        <v>13000</v>
      </c>
      <c r="H13" s="16"/>
      <c r="I13" s="16"/>
    </row>
    <row r="14" spans="1:9" s="23" customFormat="1" ht="20.25" customHeight="1">
      <c r="A14" s="25">
        <v>9</v>
      </c>
      <c r="B14" s="27">
        <v>801017000</v>
      </c>
      <c r="C14" s="16" t="s">
        <v>68</v>
      </c>
      <c r="D14" s="16" t="s">
        <v>69</v>
      </c>
      <c r="E14" s="16" t="s">
        <v>70</v>
      </c>
      <c r="F14" s="16" t="s">
        <v>19</v>
      </c>
      <c r="G14" s="16">
        <v>10000</v>
      </c>
      <c r="H14" s="16"/>
      <c r="I14" s="16" t="s">
        <v>88</v>
      </c>
    </row>
    <row r="15" spans="1:9" s="23" customFormat="1" ht="20.25" customHeight="1">
      <c r="A15" s="25">
        <v>10</v>
      </c>
      <c r="B15" s="27" t="s">
        <v>89</v>
      </c>
      <c r="C15" s="16" t="s">
        <v>90</v>
      </c>
      <c r="D15" s="16" t="s">
        <v>91</v>
      </c>
      <c r="E15" s="16" t="s">
        <v>92</v>
      </c>
      <c r="F15" s="16" t="s">
        <v>19</v>
      </c>
      <c r="G15" s="16">
        <v>30000</v>
      </c>
      <c r="H15" s="16"/>
      <c r="I15" s="16"/>
    </row>
    <row r="16" spans="1:9" s="23" customFormat="1" ht="20.25" customHeight="1">
      <c r="A16" s="25">
        <v>11</v>
      </c>
      <c r="B16" s="27" t="s">
        <v>49</v>
      </c>
      <c r="C16" s="16" t="s">
        <v>51</v>
      </c>
      <c r="D16" s="16" t="s">
        <v>53</v>
      </c>
      <c r="E16" s="16" t="s">
        <v>54</v>
      </c>
      <c r="F16" s="16" t="s">
        <v>19</v>
      </c>
      <c r="G16" s="16">
        <v>30000</v>
      </c>
      <c r="H16" s="16"/>
      <c r="I16" s="16"/>
    </row>
    <row r="17" spans="1:9" s="23" customFormat="1" ht="20.25" customHeight="1">
      <c r="A17" s="25">
        <v>12</v>
      </c>
      <c r="B17" s="27" t="s">
        <v>50</v>
      </c>
      <c r="C17" s="16" t="s">
        <v>52</v>
      </c>
      <c r="D17" s="16" t="s">
        <v>53</v>
      </c>
      <c r="E17" s="16" t="s">
        <v>54</v>
      </c>
      <c r="F17" s="16" t="s">
        <v>19</v>
      </c>
      <c r="G17" s="16">
        <v>30000</v>
      </c>
      <c r="H17" s="16"/>
      <c r="I17" s="16"/>
    </row>
    <row r="18" spans="1:9" s="23" customFormat="1" ht="20.25" customHeight="1">
      <c r="A18" s="25">
        <v>13</v>
      </c>
      <c r="B18" s="26" t="s">
        <v>35</v>
      </c>
      <c r="C18" s="28" t="s">
        <v>29</v>
      </c>
      <c r="D18" s="16" t="s">
        <v>27</v>
      </c>
      <c r="E18" s="16" t="s">
        <v>36</v>
      </c>
      <c r="F18" s="16" t="s">
        <v>20</v>
      </c>
      <c r="G18" s="16">
        <v>60000</v>
      </c>
      <c r="H18" s="16"/>
      <c r="I18" s="16" t="s">
        <v>28</v>
      </c>
    </row>
    <row r="19" spans="1:9" s="23" customFormat="1" ht="20.25" customHeight="1">
      <c r="A19" s="25">
        <v>14</v>
      </c>
      <c r="B19" s="27" t="s">
        <v>78</v>
      </c>
      <c r="C19" s="25" t="s">
        <v>79</v>
      </c>
      <c r="D19" s="16" t="s">
        <v>80</v>
      </c>
      <c r="E19" s="25" t="s">
        <v>81</v>
      </c>
      <c r="F19" s="16" t="s">
        <v>31</v>
      </c>
      <c r="G19" s="25">
        <v>200000</v>
      </c>
      <c r="H19" s="25"/>
      <c r="I19" s="25"/>
    </row>
    <row r="20" spans="1:9" s="23" customFormat="1" ht="20.25" customHeight="1">
      <c r="A20" s="25">
        <v>15</v>
      </c>
      <c r="B20" s="27" t="s">
        <v>93</v>
      </c>
      <c r="C20" s="25" t="s">
        <v>94</v>
      </c>
      <c r="D20" s="16" t="s">
        <v>91</v>
      </c>
      <c r="E20" s="25" t="s">
        <v>95</v>
      </c>
      <c r="F20" s="16" t="s">
        <v>31</v>
      </c>
      <c r="G20" s="25">
        <v>100000</v>
      </c>
      <c r="H20" s="25"/>
      <c r="I20" s="25"/>
    </row>
    <row r="21" spans="1:9" s="23" customFormat="1" ht="20.25" customHeight="1">
      <c r="A21" s="25">
        <v>16</v>
      </c>
      <c r="B21" s="27" t="s">
        <v>82</v>
      </c>
      <c r="C21" s="25" t="s">
        <v>83</v>
      </c>
      <c r="D21" s="16" t="s">
        <v>80</v>
      </c>
      <c r="E21" s="25" t="s">
        <v>81</v>
      </c>
      <c r="F21" s="16" t="s">
        <v>31</v>
      </c>
      <c r="G21" s="25">
        <v>200000</v>
      </c>
      <c r="H21" s="25"/>
      <c r="I21" s="25"/>
    </row>
    <row r="22" spans="1:9" s="23" customFormat="1" ht="20.25" customHeight="1">
      <c r="A22" s="25">
        <v>17</v>
      </c>
      <c r="B22" s="27" t="s">
        <v>55</v>
      </c>
      <c r="C22" s="25" t="s">
        <v>57</v>
      </c>
      <c r="D22" s="16" t="s">
        <v>22</v>
      </c>
      <c r="E22" s="25" t="s">
        <v>30</v>
      </c>
      <c r="F22" s="16" t="s">
        <v>24</v>
      </c>
      <c r="G22" s="25">
        <v>400000</v>
      </c>
      <c r="H22" s="25"/>
      <c r="I22" s="25" t="s">
        <v>28</v>
      </c>
    </row>
    <row r="23" spans="1:9" s="23" customFormat="1" ht="20.25" customHeight="1">
      <c r="A23" s="25">
        <v>18</v>
      </c>
      <c r="B23" s="27" t="s">
        <v>56</v>
      </c>
      <c r="C23" s="25" t="s">
        <v>33</v>
      </c>
      <c r="D23" s="16" t="s">
        <v>22</v>
      </c>
      <c r="E23" s="25" t="s">
        <v>30</v>
      </c>
      <c r="F23" s="16" t="s">
        <v>24</v>
      </c>
      <c r="G23" s="25">
        <v>400000</v>
      </c>
      <c r="H23" s="25"/>
      <c r="I23" s="25"/>
    </row>
    <row r="24" spans="1:9" s="23" customFormat="1" ht="20.25" customHeight="1">
      <c r="A24" s="25">
        <v>19</v>
      </c>
      <c r="B24" s="27" t="s">
        <v>96</v>
      </c>
      <c r="C24" s="25" t="s">
        <v>97</v>
      </c>
      <c r="D24" s="16" t="s">
        <v>22</v>
      </c>
      <c r="E24" s="25" t="s">
        <v>30</v>
      </c>
      <c r="F24" s="16" t="s">
        <v>23</v>
      </c>
      <c r="G24" s="25">
        <v>150000</v>
      </c>
      <c r="H24" s="25"/>
      <c r="I24" s="25" t="s">
        <v>88</v>
      </c>
    </row>
    <row r="25" spans="1:9" s="23" customFormat="1" ht="20.25" customHeight="1">
      <c r="A25" s="25"/>
      <c r="B25" s="27"/>
      <c r="C25" s="25"/>
      <c r="D25" s="16"/>
      <c r="E25" s="25"/>
      <c r="F25" s="16"/>
      <c r="G25" s="25"/>
      <c r="H25" s="25"/>
      <c r="I25" s="25"/>
    </row>
  </sheetData>
  <mergeCells count="2">
    <mergeCell ref="A1:G2"/>
    <mergeCell ref="A3:G4"/>
  </mergeCells>
  <printOptions horizontalCentered="1" verticalCentered="1"/>
  <pageMargins left="0.26" right="0.15" top="0.25" bottom="0.37" header="0.17" footer="0.16"/>
  <pageSetup paperSize="9" scale="93" orientation="landscape" r:id="rId1"/>
  <headerFooter alignWithMargins="0">
    <oddFooter>&amp;LPPC&amp;CTOOL ROOM&amp;RPRODUCTION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I23"/>
  <sheetViews>
    <sheetView view="pageBreakPreview" topLeftCell="A16" zoomScaleSheetLayoutView="100" workbookViewId="0">
      <selection sqref="A1:XFD1048576"/>
    </sheetView>
  </sheetViews>
  <sheetFormatPr defaultColWidth="9.109375" defaultRowHeight="26.25" customHeight="1"/>
  <cols>
    <col min="1" max="1" width="6.109375" style="19" customWidth="1"/>
    <col min="2" max="2" width="24.109375" style="19" bestFit="1" customWidth="1"/>
    <col min="3" max="3" width="27.88671875" style="19" bestFit="1" customWidth="1"/>
    <col min="4" max="4" width="17" style="19" customWidth="1"/>
    <col min="5" max="5" width="22" style="19" bestFit="1" customWidth="1"/>
    <col min="6" max="6" width="17" style="19" customWidth="1"/>
    <col min="7" max="7" width="11.6640625" style="19" bestFit="1" customWidth="1"/>
    <col min="8" max="8" width="11.6640625" style="19" hidden="1" customWidth="1"/>
    <col min="9" max="9" width="27.6640625" style="19" customWidth="1"/>
    <col min="10" max="10" width="9.109375" style="19"/>
    <col min="11" max="11" width="11.5546875" style="19" bestFit="1" customWidth="1"/>
    <col min="12" max="12" width="11.6640625" style="19" bestFit="1" customWidth="1"/>
    <col min="13" max="16384" width="9.109375" style="19"/>
  </cols>
  <sheetData>
    <row r="1" spans="1:9" ht="14.25" customHeight="1">
      <c r="A1" s="210" t="s">
        <v>10</v>
      </c>
      <c r="B1" s="210"/>
      <c r="C1" s="210"/>
      <c r="D1" s="210"/>
      <c r="E1" s="210"/>
      <c r="F1" s="210"/>
      <c r="G1" s="210"/>
      <c r="H1" s="17" t="s">
        <v>0</v>
      </c>
      <c r="I1" s="18" t="s">
        <v>13</v>
      </c>
    </row>
    <row r="2" spans="1:9" ht="15.75" customHeight="1">
      <c r="A2" s="210"/>
      <c r="B2" s="210"/>
      <c r="C2" s="210"/>
      <c r="D2" s="210"/>
      <c r="E2" s="210"/>
      <c r="F2" s="210"/>
      <c r="G2" s="210"/>
      <c r="H2" s="17" t="s">
        <v>11</v>
      </c>
      <c r="I2" s="18">
        <v>0</v>
      </c>
    </row>
    <row r="3" spans="1:9" ht="14.25" customHeight="1">
      <c r="A3" s="211" t="s">
        <v>1</v>
      </c>
      <c r="B3" s="211"/>
      <c r="C3" s="211"/>
      <c r="D3" s="211"/>
      <c r="E3" s="211"/>
      <c r="F3" s="211"/>
      <c r="G3" s="211"/>
      <c r="H3" s="20" t="s">
        <v>12</v>
      </c>
      <c r="I3" s="21">
        <v>43262</v>
      </c>
    </row>
    <row r="4" spans="1:9" s="23" customFormat="1" ht="13.8">
      <c r="A4" s="211"/>
      <c r="B4" s="211"/>
      <c r="C4" s="211"/>
      <c r="D4" s="211"/>
      <c r="E4" s="211"/>
      <c r="F4" s="211"/>
      <c r="G4" s="211"/>
      <c r="H4" s="14" t="s">
        <v>2</v>
      </c>
      <c r="I4" s="22">
        <v>44424</v>
      </c>
    </row>
    <row r="5" spans="1:9" s="23" customFormat="1" ht="18.75" customHeight="1">
      <c r="A5" s="15" t="s">
        <v>3</v>
      </c>
      <c r="B5" s="24" t="s">
        <v>4</v>
      </c>
      <c r="C5" s="24" t="s">
        <v>5</v>
      </c>
      <c r="D5" s="24" t="s">
        <v>6</v>
      </c>
      <c r="E5" s="24" t="s">
        <v>9</v>
      </c>
      <c r="F5" s="24" t="s">
        <v>8</v>
      </c>
      <c r="G5" s="24" t="s">
        <v>7</v>
      </c>
      <c r="H5" s="24" t="s">
        <v>14</v>
      </c>
      <c r="I5" s="24" t="s">
        <v>15</v>
      </c>
    </row>
    <row r="6" spans="1:9" s="23" customFormat="1" ht="20.25" customHeight="1">
      <c r="A6" s="25">
        <v>1</v>
      </c>
      <c r="B6" s="27" t="s">
        <v>72</v>
      </c>
      <c r="C6" s="16" t="s">
        <v>73</v>
      </c>
      <c r="D6" s="16" t="s">
        <v>38</v>
      </c>
      <c r="E6" s="16" t="s">
        <v>39</v>
      </c>
      <c r="F6" s="16" t="s">
        <v>17</v>
      </c>
      <c r="G6" s="16">
        <v>60000</v>
      </c>
      <c r="H6" s="16"/>
      <c r="I6" s="16" t="s">
        <v>28</v>
      </c>
    </row>
    <row r="7" spans="1:9" s="23" customFormat="1" ht="20.25" customHeight="1">
      <c r="A7" s="25">
        <v>2</v>
      </c>
      <c r="B7" s="27" t="s">
        <v>40</v>
      </c>
      <c r="C7" s="16" t="s">
        <v>37</v>
      </c>
      <c r="D7" s="16" t="s">
        <v>38</v>
      </c>
      <c r="E7" s="16" t="s">
        <v>39</v>
      </c>
      <c r="F7" s="16" t="s">
        <v>17</v>
      </c>
      <c r="G7" s="16">
        <v>40000</v>
      </c>
      <c r="H7" s="16"/>
      <c r="I7" s="16"/>
    </row>
    <row r="8" spans="1:9" s="23" customFormat="1" ht="20.25" customHeight="1">
      <c r="A8" s="25">
        <v>3</v>
      </c>
      <c r="B8" s="27" t="s">
        <v>58</v>
      </c>
      <c r="C8" s="16" t="s">
        <v>21</v>
      </c>
      <c r="D8" s="16" t="s">
        <v>27</v>
      </c>
      <c r="E8" s="16" t="s">
        <v>60</v>
      </c>
      <c r="F8" s="16" t="s">
        <v>16</v>
      </c>
      <c r="G8" s="16">
        <v>12000</v>
      </c>
      <c r="H8" s="16"/>
      <c r="I8" s="16" t="s">
        <v>28</v>
      </c>
    </row>
    <row r="9" spans="1:9" s="23" customFormat="1" ht="20.25" customHeight="1">
      <c r="A9" s="25">
        <v>4</v>
      </c>
      <c r="B9" s="27">
        <v>321011110</v>
      </c>
      <c r="C9" s="16" t="s">
        <v>21</v>
      </c>
      <c r="D9" s="16" t="s">
        <v>25</v>
      </c>
      <c r="E9" s="16" t="s">
        <v>100</v>
      </c>
      <c r="F9" s="16" t="s">
        <v>16</v>
      </c>
      <c r="G9" s="16">
        <v>12000</v>
      </c>
      <c r="H9" s="16"/>
      <c r="I9" s="16"/>
    </row>
    <row r="10" spans="1:9" s="23" customFormat="1" ht="20.25" customHeight="1">
      <c r="A10" s="25">
        <v>5</v>
      </c>
      <c r="B10" s="27" t="s">
        <v>99</v>
      </c>
      <c r="C10" s="16" t="s">
        <v>21</v>
      </c>
      <c r="D10" s="16" t="s">
        <v>25</v>
      </c>
      <c r="E10" s="16" t="s">
        <v>100</v>
      </c>
      <c r="F10" s="16" t="s">
        <v>16</v>
      </c>
      <c r="G10" s="16">
        <v>10000</v>
      </c>
      <c r="H10" s="16"/>
      <c r="I10" s="16"/>
    </row>
    <row r="11" spans="1:9" s="23" customFormat="1" ht="20.25" customHeight="1">
      <c r="A11" s="25">
        <v>6</v>
      </c>
      <c r="B11" s="27">
        <v>321059310</v>
      </c>
      <c r="C11" s="16" t="s">
        <v>21</v>
      </c>
      <c r="D11" s="16" t="s">
        <v>25</v>
      </c>
      <c r="E11" s="16" t="s">
        <v>101</v>
      </c>
      <c r="F11" s="16" t="s">
        <v>18</v>
      </c>
      <c r="G11" s="16">
        <v>35000</v>
      </c>
      <c r="H11" s="16"/>
      <c r="I11" s="16" t="s">
        <v>42</v>
      </c>
    </row>
    <row r="12" spans="1:9" s="23" customFormat="1" ht="20.25" customHeight="1">
      <c r="A12" s="25">
        <v>7</v>
      </c>
      <c r="B12" s="27">
        <v>3210215110</v>
      </c>
      <c r="C12" s="16" t="s">
        <v>21</v>
      </c>
      <c r="D12" s="16" t="s">
        <v>25</v>
      </c>
      <c r="E12" s="16" t="s">
        <v>43</v>
      </c>
      <c r="F12" s="16" t="s">
        <v>18</v>
      </c>
      <c r="G12" s="16">
        <v>20000</v>
      </c>
      <c r="H12" s="16"/>
      <c r="I12" s="16" t="s">
        <v>48</v>
      </c>
    </row>
    <row r="13" spans="1:9" s="23" customFormat="1" ht="20.25" customHeight="1">
      <c r="A13" s="25">
        <v>8</v>
      </c>
      <c r="B13" s="27" t="s">
        <v>102</v>
      </c>
      <c r="C13" s="16" t="s">
        <v>103</v>
      </c>
      <c r="D13" s="16" t="s">
        <v>22</v>
      </c>
      <c r="E13" s="16" t="s">
        <v>54</v>
      </c>
      <c r="F13" s="16" t="s">
        <v>18</v>
      </c>
      <c r="G13" s="16">
        <v>10000</v>
      </c>
      <c r="H13" s="16"/>
      <c r="I13" s="16"/>
    </row>
    <row r="14" spans="1:9" s="23" customFormat="1" ht="20.25" customHeight="1">
      <c r="A14" s="25">
        <v>9</v>
      </c>
      <c r="B14" s="27" t="s">
        <v>49</v>
      </c>
      <c r="C14" s="16" t="s">
        <v>51</v>
      </c>
      <c r="D14" s="16" t="s">
        <v>53</v>
      </c>
      <c r="E14" s="16" t="s">
        <v>54</v>
      </c>
      <c r="F14" s="16" t="s">
        <v>19</v>
      </c>
      <c r="G14" s="16">
        <v>30000</v>
      </c>
      <c r="H14" s="16"/>
      <c r="I14" s="16" t="s">
        <v>28</v>
      </c>
    </row>
    <row r="15" spans="1:9" s="23" customFormat="1" ht="20.25" customHeight="1">
      <c r="A15" s="25">
        <v>10</v>
      </c>
      <c r="B15" s="27" t="s">
        <v>50</v>
      </c>
      <c r="C15" s="16" t="s">
        <v>52</v>
      </c>
      <c r="D15" s="16" t="s">
        <v>53</v>
      </c>
      <c r="E15" s="16" t="s">
        <v>54</v>
      </c>
      <c r="F15" s="16" t="s">
        <v>19</v>
      </c>
      <c r="G15" s="16">
        <v>30000</v>
      </c>
      <c r="H15" s="16"/>
      <c r="I15" s="16"/>
    </row>
    <row r="16" spans="1:9" s="23" customFormat="1" ht="20.25" customHeight="1">
      <c r="A16" s="25">
        <v>11</v>
      </c>
      <c r="B16" s="26" t="s">
        <v>35</v>
      </c>
      <c r="C16" s="28" t="s">
        <v>29</v>
      </c>
      <c r="D16" s="16" t="s">
        <v>27</v>
      </c>
      <c r="E16" s="16" t="s">
        <v>36</v>
      </c>
      <c r="F16" s="16" t="s">
        <v>20</v>
      </c>
      <c r="G16" s="16">
        <v>60000</v>
      </c>
      <c r="H16" s="16"/>
      <c r="I16" s="16" t="s">
        <v>28</v>
      </c>
    </row>
    <row r="17" spans="1:9" s="23" customFormat="1" ht="20.25" customHeight="1">
      <c r="A17" s="25">
        <v>12</v>
      </c>
      <c r="B17" s="27" t="s">
        <v>78</v>
      </c>
      <c r="C17" s="25" t="s">
        <v>79</v>
      </c>
      <c r="D17" s="16" t="s">
        <v>80</v>
      </c>
      <c r="E17" s="25" t="s">
        <v>81</v>
      </c>
      <c r="F17" s="16" t="s">
        <v>31</v>
      </c>
      <c r="G17" s="25">
        <v>200000</v>
      </c>
      <c r="H17" s="25"/>
      <c r="I17" s="16" t="s">
        <v>28</v>
      </c>
    </row>
    <row r="18" spans="1:9" s="23" customFormat="1" ht="20.25" customHeight="1">
      <c r="A18" s="25">
        <v>13</v>
      </c>
      <c r="B18" s="27" t="s">
        <v>93</v>
      </c>
      <c r="C18" s="25" t="s">
        <v>94</v>
      </c>
      <c r="D18" s="16" t="s">
        <v>91</v>
      </c>
      <c r="E18" s="25" t="s">
        <v>95</v>
      </c>
      <c r="F18" s="16" t="s">
        <v>31</v>
      </c>
      <c r="G18" s="25">
        <v>100000</v>
      </c>
      <c r="H18" s="25"/>
      <c r="I18" s="25"/>
    </row>
    <row r="19" spans="1:9" s="23" customFormat="1" ht="20.25" customHeight="1">
      <c r="A19" s="25">
        <v>14</v>
      </c>
      <c r="B19" s="27" t="s">
        <v>82</v>
      </c>
      <c r="C19" s="25" t="s">
        <v>83</v>
      </c>
      <c r="D19" s="16" t="s">
        <v>80</v>
      </c>
      <c r="E19" s="25" t="s">
        <v>81</v>
      </c>
      <c r="F19" s="16" t="s">
        <v>31</v>
      </c>
      <c r="G19" s="25">
        <v>200000</v>
      </c>
      <c r="H19" s="25"/>
      <c r="I19" s="25"/>
    </row>
    <row r="20" spans="1:9" s="23" customFormat="1" ht="20.25" customHeight="1">
      <c r="A20" s="25">
        <v>15</v>
      </c>
      <c r="B20" s="27" t="s">
        <v>55</v>
      </c>
      <c r="C20" s="25" t="s">
        <v>57</v>
      </c>
      <c r="D20" s="16" t="s">
        <v>22</v>
      </c>
      <c r="E20" s="25" t="s">
        <v>30</v>
      </c>
      <c r="F20" s="16" t="s">
        <v>24</v>
      </c>
      <c r="G20" s="25">
        <v>400000</v>
      </c>
      <c r="H20" s="25"/>
      <c r="I20" s="25" t="s">
        <v>28</v>
      </c>
    </row>
    <row r="21" spans="1:9" s="23" customFormat="1" ht="20.25" customHeight="1">
      <c r="A21" s="25">
        <v>16</v>
      </c>
      <c r="B21" s="27" t="s">
        <v>56</v>
      </c>
      <c r="C21" s="25" t="s">
        <v>33</v>
      </c>
      <c r="D21" s="16" t="s">
        <v>22</v>
      </c>
      <c r="E21" s="25" t="s">
        <v>30</v>
      </c>
      <c r="F21" s="16" t="s">
        <v>24</v>
      </c>
      <c r="G21" s="25">
        <v>400000</v>
      </c>
      <c r="H21" s="25"/>
      <c r="I21" s="25"/>
    </row>
    <row r="22" spans="1:9" s="23" customFormat="1" ht="20.25" customHeight="1">
      <c r="A22" s="25">
        <v>17</v>
      </c>
      <c r="B22" s="27" t="s">
        <v>96</v>
      </c>
      <c r="C22" s="25" t="s">
        <v>97</v>
      </c>
      <c r="D22" s="16" t="s">
        <v>22</v>
      </c>
      <c r="E22" s="25" t="s">
        <v>30</v>
      </c>
      <c r="F22" s="16" t="s">
        <v>23</v>
      </c>
      <c r="G22" s="25">
        <v>150000</v>
      </c>
      <c r="H22" s="25"/>
      <c r="I22" s="25" t="s">
        <v>28</v>
      </c>
    </row>
    <row r="23" spans="1:9" s="23" customFormat="1" ht="20.25" customHeight="1">
      <c r="A23" s="25">
        <v>18</v>
      </c>
      <c r="B23" s="27">
        <v>9751206525</v>
      </c>
      <c r="C23" s="25" t="s">
        <v>98</v>
      </c>
      <c r="D23" s="16" t="s">
        <v>22</v>
      </c>
      <c r="E23" s="25" t="s">
        <v>30</v>
      </c>
      <c r="F23" s="16" t="s">
        <v>23</v>
      </c>
      <c r="G23" s="25">
        <v>300000</v>
      </c>
      <c r="H23" s="25"/>
      <c r="I23" s="25"/>
    </row>
  </sheetData>
  <mergeCells count="2">
    <mergeCell ref="A1:G2"/>
    <mergeCell ref="A3:G4"/>
  </mergeCells>
  <printOptions horizontalCentered="1" verticalCentered="1"/>
  <pageMargins left="0.26" right="0.15" top="0.25" bottom="0.37" header="0.17" footer="0.16"/>
  <pageSetup paperSize="9" scale="93" orientation="landscape" r:id="rId1"/>
  <headerFooter alignWithMargins="0">
    <oddFooter>&amp;LPPC&amp;CTOOL ROOM&amp;RPRODUCTION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8"/>
  <sheetViews>
    <sheetView zoomScale="90" zoomScaleNormal="90" workbookViewId="0">
      <pane ySplit="1" topLeftCell="A59" activePane="bottomLeft" state="frozen"/>
      <selection activeCell="D75" sqref="D75"/>
      <selection pane="bottomLeft" activeCell="M65" sqref="M65"/>
    </sheetView>
  </sheetViews>
  <sheetFormatPr defaultColWidth="5.109375" defaultRowHeight="14.4"/>
  <cols>
    <col min="1" max="1" width="5.33203125" bestFit="1" customWidth="1"/>
    <col min="2" max="2" width="9.44140625" bestFit="1" customWidth="1"/>
    <col min="3" max="3" width="10.6640625" bestFit="1" customWidth="1"/>
    <col min="4" max="4" width="10.109375" bestFit="1" customWidth="1"/>
    <col min="13" max="13" width="63.109375" bestFit="1" customWidth="1"/>
    <col min="14" max="14" width="20.5546875" bestFit="1" customWidth="1"/>
    <col min="15" max="15" width="11.33203125" bestFit="1" customWidth="1"/>
    <col min="16" max="16" width="15.88671875" style="113" bestFit="1" customWidth="1"/>
    <col min="17" max="17" width="48.109375" bestFit="1" customWidth="1"/>
  </cols>
  <sheetData>
    <row r="1" spans="1:17" s="107" customFormat="1" ht="15.6">
      <c r="A1" s="106" t="s">
        <v>513</v>
      </c>
      <c r="B1" s="106" t="s">
        <v>846</v>
      </c>
      <c r="C1" s="106" t="s">
        <v>524</v>
      </c>
      <c r="D1" s="106" t="s">
        <v>512</v>
      </c>
      <c r="E1" s="229" t="s">
        <v>515</v>
      </c>
      <c r="F1" s="229"/>
      <c r="G1" s="229"/>
      <c r="H1" s="229"/>
      <c r="I1" s="229"/>
      <c r="J1" s="229"/>
      <c r="K1" s="229"/>
      <c r="L1" s="229"/>
      <c r="M1" s="106" t="s">
        <v>525</v>
      </c>
      <c r="N1" s="106" t="s">
        <v>526</v>
      </c>
      <c r="O1" s="106" t="s">
        <v>514</v>
      </c>
      <c r="P1" s="106" t="s">
        <v>527</v>
      </c>
      <c r="Q1" s="85"/>
    </row>
    <row r="2" spans="1:17">
      <c r="A2" s="26">
        <v>1</v>
      </c>
      <c r="B2" s="26" t="s">
        <v>854</v>
      </c>
      <c r="C2" s="26" t="s">
        <v>517</v>
      </c>
      <c r="D2" s="26"/>
      <c r="E2" s="228" t="s">
        <v>516</v>
      </c>
      <c r="F2" s="228"/>
      <c r="G2" s="228"/>
      <c r="H2" s="228"/>
      <c r="I2" s="228"/>
      <c r="J2" s="228"/>
      <c r="K2" s="228"/>
      <c r="L2" s="228"/>
      <c r="M2" s="26"/>
      <c r="N2" s="26" t="s">
        <v>517</v>
      </c>
      <c r="O2" s="26"/>
      <c r="P2" s="26" t="s">
        <v>507</v>
      </c>
      <c r="Q2" s="26"/>
    </row>
    <row r="3" spans="1:17">
      <c r="A3" s="26">
        <v>2</v>
      </c>
      <c r="B3" s="26" t="s">
        <v>854</v>
      </c>
      <c r="C3" s="26" t="s">
        <v>532</v>
      </c>
      <c r="D3" s="26"/>
      <c r="E3" s="228" t="s">
        <v>521</v>
      </c>
      <c r="F3" s="228"/>
      <c r="G3" s="228"/>
      <c r="H3" s="228"/>
      <c r="I3" s="228"/>
      <c r="J3" s="228"/>
      <c r="K3" s="228"/>
      <c r="L3" s="228"/>
      <c r="M3" s="112"/>
      <c r="N3" s="26" t="s">
        <v>522</v>
      </c>
      <c r="O3" s="26"/>
      <c r="P3" s="26" t="s">
        <v>507</v>
      </c>
      <c r="Q3" s="26"/>
    </row>
    <row r="4" spans="1:17">
      <c r="A4" s="26">
        <v>3</v>
      </c>
      <c r="B4" s="26"/>
      <c r="C4" s="26" t="s">
        <v>532</v>
      </c>
      <c r="D4" s="26"/>
      <c r="E4" s="228" t="s">
        <v>523</v>
      </c>
      <c r="F4" s="228"/>
      <c r="G4" s="228"/>
      <c r="H4" s="228"/>
      <c r="I4" s="228"/>
      <c r="J4" s="228"/>
      <c r="K4" s="228"/>
      <c r="L4" s="228"/>
      <c r="M4" s="26"/>
      <c r="N4" s="26" t="s">
        <v>522</v>
      </c>
      <c r="O4" s="26"/>
      <c r="P4" s="26" t="s">
        <v>507</v>
      </c>
      <c r="Q4" s="26"/>
    </row>
    <row r="5" spans="1:17">
      <c r="A5" s="26">
        <v>4</v>
      </c>
      <c r="B5" s="26"/>
      <c r="C5" s="26" t="s">
        <v>532</v>
      </c>
      <c r="D5" s="26"/>
      <c r="E5" s="228" t="s">
        <v>696</v>
      </c>
      <c r="F5" s="228"/>
      <c r="G5" s="228"/>
      <c r="H5" s="228"/>
      <c r="I5" s="228"/>
      <c r="J5" s="228"/>
      <c r="K5" s="228"/>
      <c r="L5" s="228"/>
      <c r="M5" s="26"/>
      <c r="N5" s="26" t="s">
        <v>652</v>
      </c>
      <c r="O5" s="26"/>
      <c r="P5" s="26" t="s">
        <v>507</v>
      </c>
      <c r="Q5" s="26"/>
    </row>
    <row r="6" spans="1:17">
      <c r="A6" s="26">
        <v>5</v>
      </c>
      <c r="B6" s="26"/>
      <c r="C6" s="26" t="s">
        <v>532</v>
      </c>
      <c r="D6" s="26"/>
      <c r="E6" s="228" t="s">
        <v>533</v>
      </c>
      <c r="F6" s="228"/>
      <c r="G6" s="228"/>
      <c r="H6" s="228"/>
      <c r="I6" s="228"/>
      <c r="J6" s="228"/>
      <c r="K6" s="228"/>
      <c r="L6" s="228"/>
      <c r="M6" s="112" t="s">
        <v>534</v>
      </c>
      <c r="N6" s="26" t="s">
        <v>522</v>
      </c>
      <c r="O6" s="26"/>
      <c r="P6" s="26" t="s">
        <v>507</v>
      </c>
      <c r="Q6" s="26"/>
    </row>
    <row r="7" spans="1:17">
      <c r="A7" s="26">
        <v>6</v>
      </c>
      <c r="B7" s="26"/>
      <c r="C7" s="26" t="s">
        <v>529</v>
      </c>
      <c r="D7" s="26"/>
      <c r="E7" s="228" t="s">
        <v>538</v>
      </c>
      <c r="F7" s="228"/>
      <c r="G7" s="228"/>
      <c r="H7" s="228"/>
      <c r="I7" s="228"/>
      <c r="J7" s="228"/>
      <c r="K7" s="228"/>
      <c r="L7" s="228"/>
      <c r="M7" s="112" t="s">
        <v>539</v>
      </c>
      <c r="N7" s="26" t="s">
        <v>652</v>
      </c>
      <c r="O7" s="108">
        <v>45379</v>
      </c>
      <c r="P7" s="26" t="s">
        <v>507</v>
      </c>
      <c r="Q7" s="26"/>
    </row>
    <row r="8" spans="1:17">
      <c r="A8" s="26">
        <v>7</v>
      </c>
      <c r="B8" s="26"/>
      <c r="C8" s="26" t="s">
        <v>529</v>
      </c>
      <c r="D8" s="26"/>
      <c r="E8" s="228" t="s">
        <v>541</v>
      </c>
      <c r="F8" s="228"/>
      <c r="G8" s="228"/>
      <c r="H8" s="228"/>
      <c r="I8" s="228"/>
      <c r="J8" s="228"/>
      <c r="K8" s="228"/>
      <c r="L8" s="228"/>
      <c r="M8" s="112" t="s">
        <v>542</v>
      </c>
      <c r="N8" s="26" t="s">
        <v>652</v>
      </c>
      <c r="O8" s="108">
        <v>45379</v>
      </c>
      <c r="P8" s="26" t="s">
        <v>507</v>
      </c>
      <c r="Q8" s="26"/>
    </row>
    <row r="9" spans="1:17">
      <c r="A9" s="26">
        <v>8</v>
      </c>
      <c r="B9" s="26"/>
      <c r="C9" s="26" t="s">
        <v>677</v>
      </c>
      <c r="D9" s="26"/>
      <c r="E9" s="228" t="s">
        <v>543</v>
      </c>
      <c r="F9" s="228"/>
      <c r="G9" s="228"/>
      <c r="H9" s="228"/>
      <c r="I9" s="228"/>
      <c r="J9" s="228"/>
      <c r="K9" s="228"/>
      <c r="L9" s="228"/>
      <c r="M9" s="112" t="s">
        <v>544</v>
      </c>
      <c r="N9" s="26" t="s">
        <v>520</v>
      </c>
      <c r="O9" s="108">
        <v>45380</v>
      </c>
      <c r="P9" s="26" t="s">
        <v>708</v>
      </c>
      <c r="Q9" s="26"/>
    </row>
    <row r="10" spans="1:17">
      <c r="A10" s="26">
        <v>9</v>
      </c>
      <c r="B10" s="26"/>
      <c r="C10" s="26" t="s">
        <v>48</v>
      </c>
      <c r="D10" s="26"/>
      <c r="E10" s="228" t="s">
        <v>545</v>
      </c>
      <c r="F10" s="228"/>
      <c r="G10" s="228"/>
      <c r="H10" s="228"/>
      <c r="I10" s="228"/>
      <c r="J10" s="228"/>
      <c r="K10" s="228"/>
      <c r="L10" s="228"/>
      <c r="M10" s="112" t="s">
        <v>546</v>
      </c>
      <c r="N10" s="26" t="s">
        <v>547</v>
      </c>
      <c r="O10" s="108">
        <v>45379</v>
      </c>
      <c r="P10" s="26" t="s">
        <v>708</v>
      </c>
      <c r="Q10" s="26"/>
    </row>
    <row r="11" spans="1:17">
      <c r="A11" s="26">
        <v>10</v>
      </c>
      <c r="B11" s="26"/>
      <c r="C11" s="26" t="s">
        <v>548</v>
      </c>
      <c r="D11" s="26"/>
      <c r="E11" s="228" t="s">
        <v>549</v>
      </c>
      <c r="F11" s="228"/>
      <c r="G11" s="228"/>
      <c r="H11" s="228"/>
      <c r="I11" s="228"/>
      <c r="J11" s="228"/>
      <c r="K11" s="228"/>
      <c r="L11" s="228"/>
      <c r="M11" s="112" t="s">
        <v>550</v>
      </c>
      <c r="N11" s="26" t="s">
        <v>551</v>
      </c>
      <c r="O11" s="108">
        <v>45379</v>
      </c>
      <c r="P11" s="26" t="s">
        <v>507</v>
      </c>
      <c r="Q11" s="112" t="s">
        <v>613</v>
      </c>
    </row>
    <row r="12" spans="1:17" ht="28.8">
      <c r="A12" s="26">
        <v>11</v>
      </c>
      <c r="B12" s="26"/>
      <c r="C12" s="26" t="s">
        <v>552</v>
      </c>
      <c r="D12" s="26"/>
      <c r="E12" s="228" t="s">
        <v>553</v>
      </c>
      <c r="F12" s="228"/>
      <c r="G12" s="228"/>
      <c r="H12" s="228"/>
      <c r="I12" s="228"/>
      <c r="J12" s="228"/>
      <c r="K12" s="228"/>
      <c r="L12" s="228"/>
      <c r="M12" s="112" t="s">
        <v>554</v>
      </c>
      <c r="N12" s="26" t="s">
        <v>555</v>
      </c>
      <c r="O12" s="26" t="s">
        <v>556</v>
      </c>
      <c r="P12" s="26" t="s">
        <v>507</v>
      </c>
      <c r="Q12" s="26"/>
    </row>
    <row r="13" spans="1:17">
      <c r="A13" s="26">
        <v>12</v>
      </c>
      <c r="B13" s="26"/>
      <c r="C13" s="26" t="s">
        <v>532</v>
      </c>
      <c r="D13" s="26"/>
      <c r="E13" s="228" t="s">
        <v>557</v>
      </c>
      <c r="F13" s="228"/>
      <c r="G13" s="228"/>
      <c r="H13" s="228"/>
      <c r="I13" s="228"/>
      <c r="J13" s="228"/>
      <c r="K13" s="228"/>
      <c r="L13" s="228"/>
      <c r="M13" s="26" t="s">
        <v>558</v>
      </c>
      <c r="N13" s="26" t="s">
        <v>522</v>
      </c>
      <c r="O13" s="26" t="s">
        <v>559</v>
      </c>
      <c r="P13" s="26" t="s">
        <v>507</v>
      </c>
      <c r="Q13" s="26"/>
    </row>
    <row r="14" spans="1:17">
      <c r="A14" s="26">
        <v>13</v>
      </c>
      <c r="B14" s="26"/>
      <c r="C14" s="26" t="s">
        <v>532</v>
      </c>
      <c r="D14" s="26"/>
      <c r="E14" s="228" t="s">
        <v>565</v>
      </c>
      <c r="F14" s="228"/>
      <c r="G14" s="228"/>
      <c r="H14" s="228"/>
      <c r="I14" s="228"/>
      <c r="J14" s="228"/>
      <c r="K14" s="228"/>
      <c r="L14" s="228"/>
      <c r="M14" s="26" t="s">
        <v>566</v>
      </c>
      <c r="N14" s="26" t="s">
        <v>522</v>
      </c>
      <c r="O14" s="108">
        <v>45380</v>
      </c>
      <c r="P14" s="26" t="s">
        <v>507</v>
      </c>
      <c r="Q14" s="26"/>
    </row>
    <row r="15" spans="1:17">
      <c r="A15" s="26">
        <v>14</v>
      </c>
      <c r="B15" s="26"/>
      <c r="C15" s="26" t="s">
        <v>677</v>
      </c>
      <c r="D15" s="26"/>
      <c r="E15" s="228" t="s">
        <v>569</v>
      </c>
      <c r="F15" s="228"/>
      <c r="G15" s="228"/>
      <c r="H15" s="228"/>
      <c r="I15" s="228"/>
      <c r="J15" s="228"/>
      <c r="K15" s="228"/>
      <c r="L15" s="228"/>
      <c r="M15" s="26" t="s">
        <v>698</v>
      </c>
      <c r="N15" s="26" t="s">
        <v>570</v>
      </c>
      <c r="O15" s="26" t="s">
        <v>568</v>
      </c>
      <c r="P15" s="26" t="s">
        <v>507</v>
      </c>
      <c r="Q15" s="26" t="s">
        <v>614</v>
      </c>
    </row>
    <row r="16" spans="1:17">
      <c r="A16" s="26">
        <v>15</v>
      </c>
      <c r="B16" s="26"/>
      <c r="C16" s="26" t="s">
        <v>677</v>
      </c>
      <c r="D16" s="26"/>
      <c r="E16" s="228" t="s">
        <v>571</v>
      </c>
      <c r="F16" s="228"/>
      <c r="G16" s="228"/>
      <c r="H16" s="228"/>
      <c r="I16" s="228"/>
      <c r="J16" s="228"/>
      <c r="K16" s="228"/>
      <c r="L16" s="228"/>
      <c r="M16" s="112" t="s">
        <v>572</v>
      </c>
      <c r="N16" s="26" t="s">
        <v>570</v>
      </c>
      <c r="O16" s="26" t="s">
        <v>568</v>
      </c>
      <c r="P16" s="26" t="s">
        <v>507</v>
      </c>
      <c r="Q16" s="26" t="s">
        <v>615</v>
      </c>
    </row>
    <row r="17" spans="1:17" ht="28.8">
      <c r="A17" s="26">
        <v>16</v>
      </c>
      <c r="B17" s="26"/>
      <c r="C17" s="26" t="s">
        <v>677</v>
      </c>
      <c r="D17" s="26"/>
      <c r="E17" s="228"/>
      <c r="F17" s="228"/>
      <c r="G17" s="228"/>
      <c r="H17" s="228"/>
      <c r="I17" s="228"/>
      <c r="J17" s="228"/>
      <c r="K17" s="228"/>
      <c r="L17" s="228"/>
      <c r="M17" s="112" t="s">
        <v>573</v>
      </c>
      <c r="N17" s="26" t="s">
        <v>520</v>
      </c>
      <c r="O17" s="108" t="s">
        <v>568</v>
      </c>
      <c r="P17" s="26" t="s">
        <v>507</v>
      </c>
      <c r="Q17" s="26"/>
    </row>
    <row r="18" spans="1:17">
      <c r="A18" s="26">
        <v>17</v>
      </c>
      <c r="B18" s="26"/>
      <c r="C18" s="26" t="s">
        <v>48</v>
      </c>
      <c r="D18" s="26"/>
      <c r="E18" s="228" t="s">
        <v>574</v>
      </c>
      <c r="F18" s="228"/>
      <c r="G18" s="228"/>
      <c r="H18" s="228"/>
      <c r="I18" s="228"/>
      <c r="J18" s="228"/>
      <c r="K18" s="228"/>
      <c r="L18" s="228"/>
      <c r="M18" s="112" t="s">
        <v>575</v>
      </c>
      <c r="N18" s="26" t="s">
        <v>520</v>
      </c>
      <c r="O18" s="108" t="s">
        <v>568</v>
      </c>
      <c r="P18" s="26" t="s">
        <v>507</v>
      </c>
      <c r="Q18" s="26"/>
    </row>
    <row r="19" spans="1:17">
      <c r="A19" s="26">
        <v>18</v>
      </c>
      <c r="B19" s="26"/>
      <c r="C19" s="26" t="s">
        <v>677</v>
      </c>
      <c r="D19" s="26"/>
      <c r="E19" s="228" t="s">
        <v>578</v>
      </c>
      <c r="F19" s="228"/>
      <c r="G19" s="228"/>
      <c r="H19" s="228"/>
      <c r="I19" s="228"/>
      <c r="J19" s="228"/>
      <c r="K19" s="228"/>
      <c r="L19" s="228"/>
      <c r="M19" s="112" t="s">
        <v>579</v>
      </c>
      <c r="N19" s="26" t="s">
        <v>520</v>
      </c>
      <c r="O19" s="108">
        <v>45383</v>
      </c>
      <c r="P19" s="26" t="s">
        <v>507</v>
      </c>
      <c r="Q19" s="26"/>
    </row>
    <row r="20" spans="1:17">
      <c r="A20" s="26">
        <v>19</v>
      </c>
      <c r="B20" s="26"/>
      <c r="C20" s="26" t="s">
        <v>532</v>
      </c>
      <c r="D20" s="26"/>
      <c r="E20" s="228" t="s">
        <v>695</v>
      </c>
      <c r="F20" s="228"/>
      <c r="G20" s="228"/>
      <c r="H20" s="228"/>
      <c r="I20" s="228"/>
      <c r="J20" s="228"/>
      <c r="K20" s="228"/>
      <c r="L20" s="228"/>
      <c r="M20" s="26" t="s">
        <v>619</v>
      </c>
      <c r="N20" s="26" t="s">
        <v>618</v>
      </c>
      <c r="O20" s="26" t="s">
        <v>582</v>
      </c>
      <c r="P20" s="26" t="s">
        <v>507</v>
      </c>
      <c r="Q20" s="26"/>
    </row>
    <row r="21" spans="1:17">
      <c r="A21" s="26">
        <v>20</v>
      </c>
      <c r="B21" s="26"/>
      <c r="C21" s="26" t="s">
        <v>677</v>
      </c>
      <c r="D21" s="26"/>
      <c r="E21" s="228" t="s">
        <v>583</v>
      </c>
      <c r="F21" s="228"/>
      <c r="G21" s="228"/>
      <c r="H21" s="228"/>
      <c r="I21" s="228"/>
      <c r="J21" s="228"/>
      <c r="K21" s="228"/>
      <c r="L21" s="228"/>
      <c r="M21" s="26" t="s">
        <v>584</v>
      </c>
      <c r="N21" s="26" t="s">
        <v>652</v>
      </c>
      <c r="O21" s="26" t="s">
        <v>568</v>
      </c>
      <c r="P21" s="26" t="s">
        <v>507</v>
      </c>
      <c r="Q21" s="26"/>
    </row>
    <row r="22" spans="1:17">
      <c r="A22" s="26">
        <v>21</v>
      </c>
      <c r="B22" s="26"/>
      <c r="C22" s="26" t="s">
        <v>548</v>
      </c>
      <c r="D22" s="26"/>
      <c r="E22" s="228" t="s">
        <v>587</v>
      </c>
      <c r="F22" s="228"/>
      <c r="G22" s="228"/>
      <c r="H22" s="228"/>
      <c r="I22" s="228"/>
      <c r="J22" s="228"/>
      <c r="K22" s="228"/>
      <c r="L22" s="228"/>
      <c r="M22" s="26" t="s">
        <v>588</v>
      </c>
      <c r="N22" s="26" t="s">
        <v>551</v>
      </c>
      <c r="O22" s="108">
        <v>45388</v>
      </c>
      <c r="P22" s="26" t="s">
        <v>507</v>
      </c>
      <c r="Q22" s="26" t="s">
        <v>616</v>
      </c>
    </row>
    <row r="23" spans="1:17">
      <c r="A23" s="26">
        <v>22</v>
      </c>
      <c r="B23" s="26"/>
      <c r="C23" s="26" t="s">
        <v>589</v>
      </c>
      <c r="D23" s="26"/>
      <c r="E23" s="228" t="s">
        <v>590</v>
      </c>
      <c r="F23" s="228"/>
      <c r="G23" s="228"/>
      <c r="H23" s="228"/>
      <c r="I23" s="228"/>
      <c r="J23" s="228"/>
      <c r="K23" s="228"/>
      <c r="L23" s="228"/>
      <c r="M23" s="26" t="s">
        <v>591</v>
      </c>
      <c r="N23" s="26" t="s">
        <v>555</v>
      </c>
      <c r="O23" s="108">
        <v>45386</v>
      </c>
      <c r="P23" s="26" t="s">
        <v>507</v>
      </c>
      <c r="Q23" s="26"/>
    </row>
    <row r="24" spans="1:17">
      <c r="A24" s="26">
        <v>23</v>
      </c>
      <c r="B24" s="26"/>
      <c r="C24" s="26" t="s">
        <v>548</v>
      </c>
      <c r="D24" s="26"/>
      <c r="E24" s="228" t="s">
        <v>592</v>
      </c>
      <c r="F24" s="228"/>
      <c r="G24" s="228"/>
      <c r="H24" s="228"/>
      <c r="I24" s="228"/>
      <c r="J24" s="228"/>
      <c r="K24" s="228"/>
      <c r="L24" s="228"/>
      <c r="M24" s="26" t="s">
        <v>593</v>
      </c>
      <c r="N24" s="26" t="s">
        <v>551</v>
      </c>
      <c r="O24" s="108"/>
      <c r="P24" s="26" t="s">
        <v>507</v>
      </c>
      <c r="Q24" s="26" t="s">
        <v>615</v>
      </c>
    </row>
    <row r="25" spans="1:17">
      <c r="A25" s="26">
        <v>24</v>
      </c>
      <c r="B25" s="26"/>
      <c r="C25" s="26" t="s">
        <v>532</v>
      </c>
      <c r="D25" s="26"/>
      <c r="E25" s="228" t="s">
        <v>598</v>
      </c>
      <c r="F25" s="228"/>
      <c r="G25" s="228"/>
      <c r="H25" s="228"/>
      <c r="I25" s="228"/>
      <c r="J25" s="228"/>
      <c r="K25" s="228"/>
      <c r="L25" s="228"/>
      <c r="M25" s="26" t="s">
        <v>597</v>
      </c>
      <c r="N25" s="26" t="s">
        <v>522</v>
      </c>
      <c r="O25" s="108">
        <v>45386</v>
      </c>
      <c r="P25" s="26" t="s">
        <v>507</v>
      </c>
      <c r="Q25" s="26"/>
    </row>
    <row r="26" spans="1:17" ht="28.8">
      <c r="A26" s="26">
        <v>25</v>
      </c>
      <c r="B26" s="26"/>
      <c r="C26" s="26" t="s">
        <v>548</v>
      </c>
      <c r="D26" s="26"/>
      <c r="E26" s="228" t="s">
        <v>607</v>
      </c>
      <c r="F26" s="228"/>
      <c r="G26" s="228"/>
      <c r="H26" s="228"/>
      <c r="I26" s="228"/>
      <c r="J26" s="228"/>
      <c r="K26" s="228"/>
      <c r="L26" s="228"/>
      <c r="M26" s="26" t="s">
        <v>608</v>
      </c>
      <c r="N26" s="26" t="s">
        <v>551</v>
      </c>
      <c r="O26" s="108"/>
      <c r="P26" s="26" t="s">
        <v>507</v>
      </c>
      <c r="Q26" s="112" t="s">
        <v>609</v>
      </c>
    </row>
    <row r="27" spans="1:17" s="109" customFormat="1" ht="28.8">
      <c r="A27" s="26">
        <v>26</v>
      </c>
      <c r="B27" s="26"/>
      <c r="C27" s="26" t="s">
        <v>606</v>
      </c>
      <c r="D27" s="26"/>
      <c r="E27" s="228" t="s">
        <v>610</v>
      </c>
      <c r="F27" s="228"/>
      <c r="G27" s="228"/>
      <c r="H27" s="228"/>
      <c r="I27" s="228"/>
      <c r="J27" s="228"/>
      <c r="K27" s="228"/>
      <c r="L27" s="228"/>
      <c r="M27" s="112" t="s">
        <v>611</v>
      </c>
      <c r="N27" s="26" t="s">
        <v>612</v>
      </c>
      <c r="O27" s="108">
        <v>45386</v>
      </c>
      <c r="P27" s="26" t="s">
        <v>507</v>
      </c>
      <c r="Q27" s="26"/>
    </row>
    <row r="28" spans="1:17">
      <c r="A28" s="26">
        <v>27</v>
      </c>
      <c r="B28" s="26"/>
      <c r="C28" s="26" t="s">
        <v>532</v>
      </c>
      <c r="D28" s="26"/>
      <c r="E28" s="228" t="s">
        <v>627</v>
      </c>
      <c r="F28" s="228"/>
      <c r="G28" s="228"/>
      <c r="H28" s="228"/>
      <c r="I28" s="228"/>
      <c r="J28" s="228"/>
      <c r="K28" s="228"/>
      <c r="L28" s="228"/>
      <c r="M28" s="26" t="s">
        <v>621</v>
      </c>
      <c r="N28" s="26" t="s">
        <v>532</v>
      </c>
      <c r="O28" s="108">
        <v>45399</v>
      </c>
      <c r="P28" s="26" t="s">
        <v>507</v>
      </c>
      <c r="Q28" s="26"/>
    </row>
    <row r="29" spans="1:17">
      <c r="A29" s="26">
        <v>28</v>
      </c>
      <c r="B29" s="26"/>
      <c r="C29" s="26" t="s">
        <v>532</v>
      </c>
      <c r="D29" s="26"/>
      <c r="E29" s="228" t="s">
        <v>636</v>
      </c>
      <c r="F29" s="228"/>
      <c r="G29" s="228"/>
      <c r="H29" s="228"/>
      <c r="I29" s="228"/>
      <c r="J29" s="228"/>
      <c r="K29" s="228"/>
      <c r="L29" s="228"/>
      <c r="M29" s="26" t="s">
        <v>572</v>
      </c>
      <c r="N29" s="26" t="s">
        <v>551</v>
      </c>
      <c r="O29" s="108">
        <v>45400</v>
      </c>
      <c r="P29" s="26" t="s">
        <v>507</v>
      </c>
      <c r="Q29" s="26"/>
    </row>
    <row r="30" spans="1:17" ht="34.5" customHeight="1">
      <c r="A30" s="26">
        <v>29</v>
      </c>
      <c r="B30" s="26"/>
      <c r="C30" s="26" t="s">
        <v>48</v>
      </c>
      <c r="D30" s="26"/>
      <c r="E30" s="228" t="s">
        <v>640</v>
      </c>
      <c r="F30" s="228"/>
      <c r="G30" s="228"/>
      <c r="H30" s="228"/>
      <c r="I30" s="228"/>
      <c r="J30" s="228"/>
      <c r="K30" s="228"/>
      <c r="L30" s="228"/>
      <c r="M30" s="26" t="s">
        <v>637</v>
      </c>
      <c r="N30" s="26" t="s">
        <v>638</v>
      </c>
      <c r="O30" s="108">
        <v>45421</v>
      </c>
      <c r="P30" s="26" t="s">
        <v>507</v>
      </c>
      <c r="Q30" s="26"/>
    </row>
    <row r="31" spans="1:17">
      <c r="A31" s="26">
        <v>30</v>
      </c>
      <c r="B31" s="26"/>
      <c r="C31" s="26" t="s">
        <v>677</v>
      </c>
      <c r="D31" s="26"/>
      <c r="E31" s="228" t="s">
        <v>644</v>
      </c>
      <c r="F31" s="228"/>
      <c r="G31" s="228"/>
      <c r="H31" s="228"/>
      <c r="I31" s="228"/>
      <c r="J31" s="228"/>
      <c r="K31" s="228"/>
      <c r="L31" s="228"/>
      <c r="M31" s="26" t="s">
        <v>645</v>
      </c>
      <c r="N31" s="26" t="s">
        <v>646</v>
      </c>
      <c r="O31" s="108">
        <v>45413</v>
      </c>
      <c r="P31" s="26" t="s">
        <v>507</v>
      </c>
      <c r="Q31" s="26"/>
    </row>
    <row r="32" spans="1:17">
      <c r="A32" s="26">
        <v>31</v>
      </c>
      <c r="B32" s="26"/>
      <c r="C32" s="26" t="s">
        <v>532</v>
      </c>
      <c r="D32" s="26"/>
      <c r="E32" s="228" t="s">
        <v>649</v>
      </c>
      <c r="F32" s="228"/>
      <c r="G32" s="228"/>
      <c r="H32" s="228"/>
      <c r="I32" s="228"/>
      <c r="J32" s="228"/>
      <c r="K32" s="228"/>
      <c r="L32" s="228"/>
      <c r="M32" s="26" t="s">
        <v>650</v>
      </c>
      <c r="N32" s="26" t="s">
        <v>603</v>
      </c>
      <c r="O32" s="108">
        <v>45404</v>
      </c>
      <c r="P32" s="26" t="s">
        <v>507</v>
      </c>
      <c r="Q32" s="26"/>
    </row>
    <row r="33" spans="1:17">
      <c r="A33" s="26">
        <v>32</v>
      </c>
      <c r="B33" s="26"/>
      <c r="C33" s="26" t="s">
        <v>677</v>
      </c>
      <c r="D33" s="26"/>
      <c r="E33" s="228" t="s">
        <v>659</v>
      </c>
      <c r="F33" s="228"/>
      <c r="G33" s="228"/>
      <c r="H33" s="228"/>
      <c r="I33" s="228"/>
      <c r="J33" s="228"/>
      <c r="K33" s="228"/>
      <c r="L33" s="228"/>
      <c r="M33" s="26" t="s">
        <v>658</v>
      </c>
      <c r="N33" s="26" t="s">
        <v>665</v>
      </c>
      <c r="O33" s="108"/>
      <c r="P33" s="26" t="s">
        <v>507</v>
      </c>
      <c r="Q33" s="26" t="s">
        <v>689</v>
      </c>
    </row>
    <row r="34" spans="1:17">
      <c r="A34" s="26">
        <v>33</v>
      </c>
      <c r="B34" s="26"/>
      <c r="C34" s="26" t="s">
        <v>661</v>
      </c>
      <c r="D34" s="26"/>
      <c r="E34" s="228" t="s">
        <v>662</v>
      </c>
      <c r="F34" s="228"/>
      <c r="G34" s="228"/>
      <c r="H34" s="228"/>
      <c r="I34" s="228"/>
      <c r="J34" s="228"/>
      <c r="K34" s="228"/>
      <c r="L34" s="228"/>
      <c r="M34" s="26" t="s">
        <v>663</v>
      </c>
      <c r="N34" s="26" t="s">
        <v>664</v>
      </c>
      <c r="O34" s="108">
        <v>45405</v>
      </c>
      <c r="P34" s="26" t="s">
        <v>507</v>
      </c>
      <c r="Q34" s="26"/>
    </row>
    <row r="35" spans="1:17">
      <c r="A35" s="26">
        <v>34</v>
      </c>
      <c r="B35" s="26"/>
      <c r="C35" s="26" t="s">
        <v>606</v>
      </c>
      <c r="D35" s="26"/>
      <c r="E35" s="228" t="s">
        <v>675</v>
      </c>
      <c r="F35" s="228"/>
      <c r="G35" s="228"/>
      <c r="H35" s="228"/>
      <c r="I35" s="228"/>
      <c r="J35" s="228"/>
      <c r="K35" s="228"/>
      <c r="L35" s="228"/>
      <c r="M35" s="26" t="s">
        <v>676</v>
      </c>
      <c r="N35" s="26" t="s">
        <v>612</v>
      </c>
      <c r="O35" s="108">
        <v>45408</v>
      </c>
      <c r="P35" s="26" t="s">
        <v>507</v>
      </c>
      <c r="Q35" s="26"/>
    </row>
    <row r="36" spans="1:17">
      <c r="A36" s="26">
        <v>35</v>
      </c>
      <c r="B36" s="26"/>
      <c r="C36" s="26" t="s">
        <v>677</v>
      </c>
      <c r="D36" s="26"/>
      <c r="E36" s="228" t="s">
        <v>678</v>
      </c>
      <c r="F36" s="228"/>
      <c r="G36" s="228"/>
      <c r="H36" s="228"/>
      <c r="I36" s="228"/>
      <c r="J36" s="228"/>
      <c r="K36" s="228"/>
      <c r="L36" s="228"/>
      <c r="M36" s="26" t="s">
        <v>679</v>
      </c>
      <c r="N36" s="26" t="s">
        <v>670</v>
      </c>
      <c r="O36" s="108">
        <v>45407</v>
      </c>
      <c r="P36" s="26" t="s">
        <v>507</v>
      </c>
      <c r="Q36" s="26"/>
    </row>
    <row r="37" spans="1:17">
      <c r="A37" s="26">
        <v>36</v>
      </c>
      <c r="B37" s="26"/>
      <c r="C37" s="26" t="s">
        <v>677</v>
      </c>
      <c r="D37" s="26"/>
      <c r="E37" s="228" t="s">
        <v>680</v>
      </c>
      <c r="F37" s="228"/>
      <c r="G37" s="228"/>
      <c r="H37" s="228"/>
      <c r="I37" s="228"/>
      <c r="J37" s="228"/>
      <c r="K37" s="228"/>
      <c r="L37" s="228"/>
      <c r="M37" s="26" t="s">
        <v>671</v>
      </c>
      <c r="N37" s="26" t="s">
        <v>670</v>
      </c>
      <c r="O37" s="108">
        <v>45411</v>
      </c>
      <c r="P37" s="26" t="s">
        <v>507</v>
      </c>
      <c r="Q37" s="26"/>
    </row>
    <row r="38" spans="1:17">
      <c r="A38" s="26">
        <v>37</v>
      </c>
      <c r="B38" s="26"/>
      <c r="C38" s="26" t="s">
        <v>517</v>
      </c>
      <c r="D38" s="26"/>
      <c r="E38" s="228" t="s">
        <v>687</v>
      </c>
      <c r="F38" s="228"/>
      <c r="G38" s="228"/>
      <c r="H38" s="228"/>
      <c r="I38" s="228"/>
      <c r="J38" s="228"/>
      <c r="K38" s="228"/>
      <c r="L38" s="228"/>
      <c r="M38" s="26" t="s">
        <v>686</v>
      </c>
      <c r="N38" s="26" t="s">
        <v>517</v>
      </c>
      <c r="O38" s="108">
        <v>45411</v>
      </c>
      <c r="P38" s="26" t="s">
        <v>507</v>
      </c>
      <c r="Q38" s="26"/>
    </row>
    <row r="39" spans="1:17">
      <c r="A39" s="26">
        <v>38</v>
      </c>
      <c r="B39" s="26"/>
      <c r="C39" s="26" t="s">
        <v>630</v>
      </c>
      <c r="D39" s="26"/>
      <c r="E39" s="228" t="s">
        <v>704</v>
      </c>
      <c r="F39" s="228"/>
      <c r="G39" s="228"/>
      <c r="H39" s="228"/>
      <c r="I39" s="228"/>
      <c r="J39" s="228"/>
      <c r="K39" s="228"/>
      <c r="L39" s="228"/>
      <c r="M39" s="26" t="s">
        <v>705</v>
      </c>
      <c r="N39" s="26" t="s">
        <v>522</v>
      </c>
      <c r="O39" s="108">
        <v>45420</v>
      </c>
      <c r="P39" s="26" t="s">
        <v>507</v>
      </c>
      <c r="Q39" s="26"/>
    </row>
    <row r="40" spans="1:17">
      <c r="A40" s="26">
        <v>39</v>
      </c>
      <c r="B40" s="26"/>
      <c r="C40" s="26" t="s">
        <v>548</v>
      </c>
      <c r="D40" s="26"/>
      <c r="E40" s="228" t="s">
        <v>711</v>
      </c>
      <c r="F40" s="228"/>
      <c r="G40" s="228"/>
      <c r="H40" s="228"/>
      <c r="I40" s="228"/>
      <c r="J40" s="228"/>
      <c r="K40" s="228"/>
      <c r="L40" s="228"/>
      <c r="M40" s="26" t="s">
        <v>713</v>
      </c>
      <c r="N40" s="26" t="s">
        <v>712</v>
      </c>
      <c r="O40" s="108">
        <v>45421</v>
      </c>
      <c r="P40" s="26" t="s">
        <v>507</v>
      </c>
      <c r="Q40" s="26"/>
    </row>
    <row r="41" spans="1:17">
      <c r="A41" s="26">
        <v>40</v>
      </c>
      <c r="B41" s="26" t="s">
        <v>847</v>
      </c>
      <c r="C41" s="26" t="s">
        <v>529</v>
      </c>
      <c r="D41" s="110">
        <v>45428</v>
      </c>
      <c r="E41" s="228" t="s">
        <v>726</v>
      </c>
      <c r="F41" s="228"/>
      <c r="G41" s="228"/>
      <c r="H41" s="228"/>
      <c r="I41" s="228"/>
      <c r="J41" s="228"/>
      <c r="K41" s="228"/>
      <c r="L41" s="228"/>
      <c r="M41" s="26" t="s">
        <v>727</v>
      </c>
      <c r="N41" s="26" t="s">
        <v>652</v>
      </c>
      <c r="O41" s="108">
        <v>45429</v>
      </c>
      <c r="P41" s="26" t="s">
        <v>507</v>
      </c>
      <c r="Q41" s="26"/>
    </row>
    <row r="42" spans="1:17">
      <c r="A42" s="26">
        <v>41</v>
      </c>
      <c r="B42" s="26" t="s">
        <v>847</v>
      </c>
      <c r="C42" s="26" t="s">
        <v>532</v>
      </c>
      <c r="D42" s="110">
        <v>45428</v>
      </c>
      <c r="E42" s="228" t="s">
        <v>729</v>
      </c>
      <c r="F42" s="228"/>
      <c r="G42" s="228"/>
      <c r="H42" s="228"/>
      <c r="I42" s="228"/>
      <c r="J42" s="228"/>
      <c r="K42" s="228"/>
      <c r="L42" s="228"/>
      <c r="M42" s="26" t="s">
        <v>730</v>
      </c>
      <c r="N42" s="26" t="s">
        <v>522</v>
      </c>
      <c r="O42" s="108">
        <v>45429</v>
      </c>
      <c r="P42" s="26" t="s">
        <v>507</v>
      </c>
      <c r="Q42" s="26"/>
    </row>
    <row r="43" spans="1:17" ht="28.8">
      <c r="A43" s="26">
        <v>42</v>
      </c>
      <c r="B43" s="26" t="s">
        <v>847</v>
      </c>
      <c r="C43" s="26" t="s">
        <v>532</v>
      </c>
      <c r="D43" s="110">
        <v>45430</v>
      </c>
      <c r="E43" s="228" t="s">
        <v>747</v>
      </c>
      <c r="F43" s="228"/>
      <c r="G43" s="228"/>
      <c r="H43" s="228"/>
      <c r="I43" s="228"/>
      <c r="J43" s="228"/>
      <c r="K43" s="228"/>
      <c r="L43" s="228"/>
      <c r="M43" s="112" t="s">
        <v>748</v>
      </c>
      <c r="N43" s="112" t="s">
        <v>740</v>
      </c>
      <c r="O43" s="112"/>
      <c r="P43" s="26" t="s">
        <v>507</v>
      </c>
      <c r="Q43" s="112"/>
    </row>
    <row r="44" spans="1:17">
      <c r="A44" s="26">
        <v>43</v>
      </c>
      <c r="B44" s="26" t="s">
        <v>847</v>
      </c>
      <c r="C44" s="26" t="s">
        <v>677</v>
      </c>
      <c r="D44" s="110">
        <v>45432</v>
      </c>
      <c r="E44" s="228" t="s">
        <v>755</v>
      </c>
      <c r="F44" s="228"/>
      <c r="G44" s="228"/>
      <c r="H44" s="228"/>
      <c r="I44" s="228"/>
      <c r="J44" s="228"/>
      <c r="K44" s="228"/>
      <c r="L44" s="228"/>
      <c r="M44" s="26" t="s">
        <v>756</v>
      </c>
      <c r="N44" s="26" t="s">
        <v>740</v>
      </c>
      <c r="O44" s="108">
        <v>45433</v>
      </c>
      <c r="P44" s="26" t="s">
        <v>507</v>
      </c>
      <c r="Q44" s="26"/>
    </row>
    <row r="45" spans="1:17" ht="16.2">
      <c r="A45" s="26">
        <v>44</v>
      </c>
      <c r="B45" s="26" t="s">
        <v>847</v>
      </c>
      <c r="C45" s="26" t="s">
        <v>677</v>
      </c>
      <c r="D45" s="110">
        <v>45432</v>
      </c>
      <c r="E45" s="228" t="s">
        <v>758</v>
      </c>
      <c r="F45" s="228"/>
      <c r="G45" s="228"/>
      <c r="H45" s="228"/>
      <c r="I45" s="228"/>
      <c r="J45" s="228"/>
      <c r="K45" s="228"/>
      <c r="L45" s="228"/>
      <c r="M45" s="112" t="s">
        <v>757</v>
      </c>
      <c r="N45" s="26" t="s">
        <v>740</v>
      </c>
      <c r="O45" s="108">
        <v>45433</v>
      </c>
      <c r="P45" s="26" t="s">
        <v>507</v>
      </c>
      <c r="Q45" s="26"/>
    </row>
    <row r="46" spans="1:17">
      <c r="A46" s="26">
        <v>45</v>
      </c>
      <c r="B46" s="26" t="s">
        <v>847</v>
      </c>
      <c r="C46" s="26" t="s">
        <v>677</v>
      </c>
      <c r="D46" s="110">
        <v>45433</v>
      </c>
      <c r="E46" s="228" t="s">
        <v>771</v>
      </c>
      <c r="F46" s="228"/>
      <c r="G46" s="228"/>
      <c r="H46" s="228"/>
      <c r="I46" s="228"/>
      <c r="J46" s="228"/>
      <c r="K46" s="228"/>
      <c r="L46" s="228"/>
      <c r="M46" s="26" t="s">
        <v>770</v>
      </c>
      <c r="N46" s="26" t="s">
        <v>740</v>
      </c>
      <c r="O46" s="108">
        <v>45433</v>
      </c>
      <c r="P46" s="26" t="s">
        <v>507</v>
      </c>
      <c r="Q46" s="26"/>
    </row>
    <row r="47" spans="1:17" ht="28.8">
      <c r="A47" s="26">
        <v>46</v>
      </c>
      <c r="B47" s="26" t="s">
        <v>847</v>
      </c>
      <c r="C47" s="26" t="s">
        <v>529</v>
      </c>
      <c r="D47" s="110">
        <v>45434</v>
      </c>
      <c r="E47" s="228" t="s">
        <v>784</v>
      </c>
      <c r="F47" s="228"/>
      <c r="G47" s="228"/>
      <c r="H47" s="228"/>
      <c r="I47" s="228"/>
      <c r="J47" s="228"/>
      <c r="K47" s="228"/>
      <c r="L47" s="228"/>
      <c r="M47" s="112" t="s">
        <v>785</v>
      </c>
      <c r="N47" s="26" t="s">
        <v>652</v>
      </c>
      <c r="O47" s="108">
        <v>45437</v>
      </c>
      <c r="P47" s="26" t="s">
        <v>507</v>
      </c>
      <c r="Q47" s="26" t="s">
        <v>794</v>
      </c>
    </row>
    <row r="48" spans="1:17">
      <c r="A48" s="26">
        <v>47</v>
      </c>
      <c r="B48" s="26" t="s">
        <v>847</v>
      </c>
      <c r="C48" s="26" t="s">
        <v>677</v>
      </c>
      <c r="D48" s="110">
        <v>45437</v>
      </c>
      <c r="E48" s="228" t="s">
        <v>792</v>
      </c>
      <c r="F48" s="228"/>
      <c r="G48" s="228"/>
      <c r="H48" s="228"/>
      <c r="I48" s="228"/>
      <c r="J48" s="228"/>
      <c r="K48" s="228"/>
      <c r="L48" s="228"/>
      <c r="M48" s="26" t="s">
        <v>793</v>
      </c>
      <c r="N48" s="26" t="s">
        <v>551</v>
      </c>
      <c r="O48" s="108">
        <v>45439</v>
      </c>
      <c r="P48" s="26" t="s">
        <v>507</v>
      </c>
      <c r="Q48" s="26"/>
    </row>
    <row r="49" spans="1:17">
      <c r="A49" s="26">
        <v>48</v>
      </c>
      <c r="B49" s="26" t="s">
        <v>847</v>
      </c>
      <c r="C49" s="26" t="s">
        <v>548</v>
      </c>
      <c r="D49" s="110">
        <v>45439</v>
      </c>
      <c r="E49" s="228" t="s">
        <v>800</v>
      </c>
      <c r="F49" s="228"/>
      <c r="G49" s="228"/>
      <c r="H49" s="228"/>
      <c r="I49" s="228"/>
      <c r="J49" s="228"/>
      <c r="K49" s="228"/>
      <c r="L49" s="228"/>
      <c r="M49" s="26" t="s">
        <v>815</v>
      </c>
      <c r="N49" s="26" t="s">
        <v>740</v>
      </c>
      <c r="O49" s="108"/>
      <c r="P49" s="26" t="s">
        <v>507</v>
      </c>
      <c r="Q49" s="26" t="s">
        <v>801</v>
      </c>
    </row>
    <row r="50" spans="1:17">
      <c r="A50" s="26">
        <v>49</v>
      </c>
      <c r="B50" s="26" t="s">
        <v>847</v>
      </c>
      <c r="C50" s="26" t="s">
        <v>606</v>
      </c>
      <c r="D50" s="110">
        <v>45442</v>
      </c>
      <c r="E50" s="228" t="s">
        <v>813</v>
      </c>
      <c r="F50" s="228"/>
      <c r="G50" s="228"/>
      <c r="H50" s="228"/>
      <c r="I50" s="228"/>
      <c r="J50" s="228"/>
      <c r="K50" s="228"/>
      <c r="L50" s="228"/>
      <c r="M50" s="26" t="s">
        <v>814</v>
      </c>
      <c r="N50" s="26" t="s">
        <v>694</v>
      </c>
      <c r="O50" s="108" t="s">
        <v>812</v>
      </c>
      <c r="P50" s="26" t="s">
        <v>507</v>
      </c>
      <c r="Q50" s="26"/>
    </row>
    <row r="51" spans="1:17">
      <c r="A51" s="26">
        <v>50</v>
      </c>
      <c r="B51" s="26" t="s">
        <v>847</v>
      </c>
      <c r="C51" s="26" t="s">
        <v>630</v>
      </c>
      <c r="D51" s="110">
        <v>45442</v>
      </c>
      <c r="E51" s="228" t="s">
        <v>819</v>
      </c>
      <c r="F51" s="228"/>
      <c r="G51" s="228"/>
      <c r="H51" s="228"/>
      <c r="I51" s="228"/>
      <c r="J51" s="228"/>
      <c r="K51" s="228"/>
      <c r="L51" s="228"/>
      <c r="M51" s="26" t="s">
        <v>823</v>
      </c>
      <c r="N51" s="26" t="s">
        <v>551</v>
      </c>
      <c r="O51" s="108">
        <v>45450</v>
      </c>
      <c r="P51" s="26" t="s">
        <v>507</v>
      </c>
      <c r="Q51" s="26"/>
    </row>
    <row r="52" spans="1:17">
      <c r="A52" s="26">
        <v>51</v>
      </c>
      <c r="B52" s="26" t="s">
        <v>847</v>
      </c>
      <c r="C52" s="26" t="s">
        <v>630</v>
      </c>
      <c r="D52" s="110">
        <v>45442</v>
      </c>
      <c r="E52" s="228" t="s">
        <v>820</v>
      </c>
      <c r="F52" s="228"/>
      <c r="G52" s="228"/>
      <c r="H52" s="228"/>
      <c r="I52" s="228"/>
      <c r="J52" s="228"/>
      <c r="K52" s="228"/>
      <c r="L52" s="228"/>
      <c r="M52" s="26" t="s">
        <v>823</v>
      </c>
      <c r="N52" s="26" t="s">
        <v>551</v>
      </c>
      <c r="O52" s="108">
        <v>45450</v>
      </c>
      <c r="P52" s="26" t="s">
        <v>507</v>
      </c>
      <c r="Q52" s="26"/>
    </row>
    <row r="53" spans="1:17">
      <c r="A53" s="26">
        <v>52</v>
      </c>
      <c r="B53" s="26" t="s">
        <v>847</v>
      </c>
      <c r="C53" s="26" t="s">
        <v>630</v>
      </c>
      <c r="D53" s="110">
        <v>45442</v>
      </c>
      <c r="E53" s="228" t="s">
        <v>821</v>
      </c>
      <c r="F53" s="228"/>
      <c r="G53" s="228"/>
      <c r="H53" s="228"/>
      <c r="I53" s="228"/>
      <c r="J53" s="228"/>
      <c r="K53" s="228"/>
      <c r="L53" s="228"/>
      <c r="M53" s="26" t="s">
        <v>823</v>
      </c>
      <c r="N53" s="26" t="s">
        <v>551</v>
      </c>
      <c r="O53" s="108">
        <v>45450</v>
      </c>
      <c r="P53" s="26" t="s">
        <v>507</v>
      </c>
      <c r="Q53" s="26"/>
    </row>
    <row r="54" spans="1:17">
      <c r="A54" s="26">
        <v>53</v>
      </c>
      <c r="B54" s="26" t="s">
        <v>847</v>
      </c>
      <c r="C54" s="26" t="s">
        <v>630</v>
      </c>
      <c r="D54" s="110">
        <v>45442</v>
      </c>
      <c r="E54" s="228" t="s">
        <v>822</v>
      </c>
      <c r="F54" s="228"/>
      <c r="G54" s="228"/>
      <c r="H54" s="228"/>
      <c r="I54" s="228"/>
      <c r="J54" s="228"/>
      <c r="K54" s="228"/>
      <c r="L54" s="228"/>
      <c r="M54" s="26" t="s">
        <v>823</v>
      </c>
      <c r="N54" s="26" t="s">
        <v>551</v>
      </c>
      <c r="O54" s="108">
        <v>45450</v>
      </c>
      <c r="P54" s="26" t="s">
        <v>507</v>
      </c>
      <c r="Q54" s="26"/>
    </row>
    <row r="55" spans="1:17" ht="28.8">
      <c r="A55" s="26">
        <v>54</v>
      </c>
      <c r="B55" s="26" t="s">
        <v>847</v>
      </c>
      <c r="C55" s="26" t="s">
        <v>532</v>
      </c>
      <c r="D55" s="110">
        <v>45447</v>
      </c>
      <c r="E55" s="228" t="s">
        <v>837</v>
      </c>
      <c r="F55" s="228"/>
      <c r="G55" s="228"/>
      <c r="H55" s="228"/>
      <c r="I55" s="228"/>
      <c r="J55" s="228"/>
      <c r="K55" s="228"/>
      <c r="L55" s="228"/>
      <c r="M55" s="112" t="s">
        <v>838</v>
      </c>
      <c r="N55" s="26" t="s">
        <v>643</v>
      </c>
      <c r="O55" s="108">
        <v>45447</v>
      </c>
      <c r="P55" s="26" t="s">
        <v>507</v>
      </c>
      <c r="Q55" s="26"/>
    </row>
    <row r="56" spans="1:17">
      <c r="A56" s="26">
        <v>55</v>
      </c>
      <c r="B56" s="26" t="s">
        <v>847</v>
      </c>
      <c r="C56" s="26" t="s">
        <v>677</v>
      </c>
      <c r="D56" s="110">
        <v>45447</v>
      </c>
      <c r="E56" s="228" t="s">
        <v>839</v>
      </c>
      <c r="F56" s="228"/>
      <c r="G56" s="228"/>
      <c r="H56" s="228"/>
      <c r="I56" s="228"/>
      <c r="J56" s="228"/>
      <c r="K56" s="228"/>
      <c r="L56" s="228"/>
      <c r="M56" s="26" t="s">
        <v>840</v>
      </c>
      <c r="N56" s="26" t="s">
        <v>643</v>
      </c>
      <c r="O56" s="108">
        <v>45449</v>
      </c>
      <c r="P56" s="26" t="s">
        <v>507</v>
      </c>
      <c r="Q56" s="26"/>
    </row>
    <row r="57" spans="1:17">
      <c r="A57" s="26">
        <v>56</v>
      </c>
      <c r="B57" s="26" t="s">
        <v>847</v>
      </c>
      <c r="C57" s="26" t="s">
        <v>548</v>
      </c>
      <c r="D57" s="110">
        <v>45448</v>
      </c>
      <c r="E57" s="228" t="s">
        <v>844</v>
      </c>
      <c r="F57" s="228"/>
      <c r="G57" s="228"/>
      <c r="H57" s="228"/>
      <c r="I57" s="228"/>
      <c r="J57" s="228"/>
      <c r="K57" s="228"/>
      <c r="L57" s="228"/>
      <c r="M57" s="26" t="s">
        <v>845</v>
      </c>
      <c r="N57" s="26" t="s">
        <v>551</v>
      </c>
      <c r="O57" s="108">
        <v>45448</v>
      </c>
      <c r="P57" s="26" t="s">
        <v>507</v>
      </c>
      <c r="Q57" s="26"/>
    </row>
    <row r="58" spans="1:17">
      <c r="A58" s="26">
        <v>57</v>
      </c>
      <c r="B58" s="26" t="s">
        <v>847</v>
      </c>
      <c r="C58" s="26" t="s">
        <v>677</v>
      </c>
      <c r="D58" s="110">
        <v>45448</v>
      </c>
      <c r="E58" s="228" t="s">
        <v>848</v>
      </c>
      <c r="F58" s="228"/>
      <c r="G58" s="228"/>
      <c r="H58" s="228"/>
      <c r="I58" s="228"/>
      <c r="J58" s="228"/>
      <c r="K58" s="228"/>
      <c r="L58" s="228"/>
      <c r="M58" s="26" t="s">
        <v>849</v>
      </c>
      <c r="N58" s="26" t="s">
        <v>634</v>
      </c>
      <c r="O58" s="108">
        <v>45448</v>
      </c>
      <c r="P58" s="26" t="s">
        <v>507</v>
      </c>
      <c r="Q58" s="26"/>
    </row>
    <row r="59" spans="1:17">
      <c r="A59" s="26">
        <v>58</v>
      </c>
      <c r="B59" s="26" t="s">
        <v>847</v>
      </c>
      <c r="C59" s="26" t="s">
        <v>532</v>
      </c>
      <c r="D59" s="110">
        <v>45450</v>
      </c>
      <c r="E59" s="228" t="s">
        <v>860</v>
      </c>
      <c r="F59" s="228"/>
      <c r="G59" s="228"/>
      <c r="H59" s="228"/>
      <c r="I59" s="228"/>
      <c r="J59" s="228"/>
      <c r="K59" s="228"/>
      <c r="L59" s="228"/>
      <c r="M59" s="26" t="s">
        <v>861</v>
      </c>
      <c r="N59" s="26" t="s">
        <v>522</v>
      </c>
      <c r="O59" s="108">
        <v>45450</v>
      </c>
      <c r="P59" s="26" t="s">
        <v>507</v>
      </c>
      <c r="Q59" s="26"/>
    </row>
    <row r="60" spans="1:17">
      <c r="A60" s="26">
        <v>59</v>
      </c>
      <c r="B60" s="26" t="s">
        <v>847</v>
      </c>
      <c r="C60" s="26" t="s">
        <v>677</v>
      </c>
      <c r="D60" s="110">
        <v>45455</v>
      </c>
      <c r="E60" s="228" t="s">
        <v>881</v>
      </c>
      <c r="F60" s="228"/>
      <c r="G60" s="228"/>
      <c r="H60" s="228"/>
      <c r="I60" s="228"/>
      <c r="J60" s="228"/>
      <c r="K60" s="228"/>
      <c r="L60" s="228"/>
      <c r="M60" s="26" t="s">
        <v>882</v>
      </c>
      <c r="N60" s="26" t="s">
        <v>551</v>
      </c>
      <c r="O60" s="108">
        <v>45458</v>
      </c>
      <c r="P60" s="26" t="s">
        <v>507</v>
      </c>
      <c r="Q60" s="26"/>
    </row>
    <row r="61" spans="1:17">
      <c r="A61" s="26">
        <v>60</v>
      </c>
      <c r="B61" s="26" t="s">
        <v>847</v>
      </c>
      <c r="C61" s="26" t="s">
        <v>532</v>
      </c>
      <c r="D61" s="110">
        <v>45458</v>
      </c>
      <c r="E61" s="228" t="s">
        <v>895</v>
      </c>
      <c r="F61" s="228"/>
      <c r="G61" s="228"/>
      <c r="H61" s="228"/>
      <c r="I61" s="228"/>
      <c r="J61" s="228"/>
      <c r="K61" s="228"/>
      <c r="L61" s="228"/>
      <c r="M61" s="26" t="s">
        <v>899</v>
      </c>
      <c r="N61" s="26" t="s">
        <v>522</v>
      </c>
      <c r="O61" s="108">
        <v>45458</v>
      </c>
      <c r="P61" s="26" t="s">
        <v>507</v>
      </c>
      <c r="Q61" s="26"/>
    </row>
    <row r="62" spans="1:17" ht="33" customHeight="1">
      <c r="A62" s="26">
        <v>61</v>
      </c>
      <c r="B62" s="26" t="s">
        <v>847</v>
      </c>
      <c r="C62" s="26" t="s">
        <v>677</v>
      </c>
      <c r="D62" s="110">
        <v>45458</v>
      </c>
      <c r="E62" s="228" t="s">
        <v>903</v>
      </c>
      <c r="F62" s="228"/>
      <c r="G62" s="228"/>
      <c r="H62" s="228"/>
      <c r="I62" s="228"/>
      <c r="J62" s="228"/>
      <c r="K62" s="228"/>
      <c r="L62" s="228"/>
      <c r="M62" s="26" t="s">
        <v>904</v>
      </c>
      <c r="N62" s="111" t="s">
        <v>905</v>
      </c>
      <c r="O62" s="108">
        <v>45458</v>
      </c>
      <c r="P62" s="26" t="s">
        <v>507</v>
      </c>
      <c r="Q62" s="26"/>
    </row>
    <row r="63" spans="1:17">
      <c r="A63" s="26">
        <v>62</v>
      </c>
      <c r="B63" s="26" t="s">
        <v>847</v>
      </c>
      <c r="C63" s="26" t="s">
        <v>630</v>
      </c>
      <c r="D63" s="110">
        <v>45460</v>
      </c>
      <c r="E63" s="228" t="s">
        <v>912</v>
      </c>
      <c r="F63" s="228"/>
      <c r="G63" s="228"/>
      <c r="H63" s="228"/>
      <c r="I63" s="228"/>
      <c r="J63" s="228"/>
      <c r="K63" s="228"/>
      <c r="L63" s="228"/>
      <c r="M63" s="26" t="s">
        <v>913</v>
      </c>
      <c r="N63" s="26" t="s">
        <v>914</v>
      </c>
      <c r="O63" s="108">
        <v>45464</v>
      </c>
      <c r="P63" s="26" t="s">
        <v>507</v>
      </c>
      <c r="Q63" s="26"/>
    </row>
    <row r="64" spans="1:17">
      <c r="A64" s="26">
        <v>63</v>
      </c>
      <c r="B64" s="26" t="s">
        <v>847</v>
      </c>
      <c r="C64" s="26" t="s">
        <v>677</v>
      </c>
      <c r="D64" s="110">
        <v>45462</v>
      </c>
      <c r="E64" s="228" t="s">
        <v>926</v>
      </c>
      <c r="F64" s="228"/>
      <c r="G64" s="228"/>
      <c r="H64" s="228"/>
      <c r="I64" s="228"/>
      <c r="J64" s="228"/>
      <c r="K64" s="228"/>
      <c r="L64" s="228"/>
      <c r="M64" s="26" t="s">
        <v>924</v>
      </c>
      <c r="N64" s="26" t="s">
        <v>925</v>
      </c>
      <c r="O64" s="108">
        <v>45462</v>
      </c>
      <c r="P64" s="26" t="s">
        <v>507</v>
      </c>
      <c r="Q64" s="26"/>
    </row>
    <row r="65" spans="1:17">
      <c r="A65" s="26">
        <v>64</v>
      </c>
      <c r="B65" s="26" t="s">
        <v>847</v>
      </c>
      <c r="C65" s="26" t="s">
        <v>532</v>
      </c>
      <c r="D65" s="110">
        <v>45463</v>
      </c>
      <c r="E65" s="228" t="s">
        <v>927</v>
      </c>
      <c r="F65" s="228"/>
      <c r="G65" s="228"/>
      <c r="H65" s="228"/>
      <c r="I65" s="228"/>
      <c r="J65" s="228"/>
      <c r="K65" s="228"/>
      <c r="L65" s="228"/>
      <c r="M65" s="26" t="s">
        <v>928</v>
      </c>
      <c r="N65" s="26" t="s">
        <v>971</v>
      </c>
      <c r="O65" s="108">
        <v>45464</v>
      </c>
      <c r="P65" s="26" t="s">
        <v>507</v>
      </c>
      <c r="Q65" s="26"/>
    </row>
    <row r="66" spans="1:17">
      <c r="A66" s="26">
        <v>65</v>
      </c>
      <c r="B66" s="26" t="s">
        <v>847</v>
      </c>
      <c r="C66" s="26" t="s">
        <v>630</v>
      </c>
      <c r="D66" s="110">
        <v>45463</v>
      </c>
      <c r="E66" s="228" t="s">
        <v>929</v>
      </c>
      <c r="F66" s="228"/>
      <c r="G66" s="228"/>
      <c r="H66" s="228"/>
      <c r="I66" s="228"/>
      <c r="J66" s="228"/>
      <c r="K66" s="228"/>
      <c r="L66" s="228"/>
      <c r="M66" s="26" t="s">
        <v>930</v>
      </c>
      <c r="N66" s="26" t="s">
        <v>555</v>
      </c>
      <c r="O66" s="108">
        <v>45464</v>
      </c>
      <c r="P66" s="26" t="s">
        <v>507</v>
      </c>
      <c r="Q66" s="26"/>
    </row>
    <row r="67" spans="1:17">
      <c r="A67" s="26">
        <v>66</v>
      </c>
      <c r="B67" s="26" t="s">
        <v>847</v>
      </c>
      <c r="C67" s="26" t="s">
        <v>630</v>
      </c>
      <c r="D67" s="110">
        <v>45467</v>
      </c>
      <c r="E67" s="228" t="s">
        <v>936</v>
      </c>
      <c r="F67" s="228"/>
      <c r="G67" s="228"/>
      <c r="H67" s="228"/>
      <c r="I67" s="228"/>
      <c r="J67" s="228"/>
      <c r="K67" s="228"/>
      <c r="L67" s="228"/>
      <c r="M67" s="26" t="s">
        <v>937</v>
      </c>
      <c r="N67" s="26" t="s">
        <v>522</v>
      </c>
      <c r="O67" s="108">
        <v>45467</v>
      </c>
      <c r="P67" s="26" t="s">
        <v>507</v>
      </c>
      <c r="Q67" s="26"/>
    </row>
    <row r="68" spans="1:17">
      <c r="A68" s="26">
        <v>67</v>
      </c>
      <c r="B68" s="26" t="s">
        <v>847</v>
      </c>
      <c r="C68" s="26" t="s">
        <v>677</v>
      </c>
      <c r="D68" s="110">
        <v>45467</v>
      </c>
      <c r="E68" s="228" t="s">
        <v>945</v>
      </c>
      <c r="F68" s="228"/>
      <c r="G68" s="228"/>
      <c r="H68" s="228"/>
      <c r="I68" s="228"/>
      <c r="J68" s="228"/>
      <c r="K68" s="228"/>
      <c r="L68" s="228"/>
      <c r="M68" s="26" t="s">
        <v>946</v>
      </c>
      <c r="N68" s="26" t="s">
        <v>634</v>
      </c>
      <c r="O68" s="108">
        <v>45467</v>
      </c>
      <c r="P68" s="26" t="s">
        <v>507</v>
      </c>
      <c r="Q68" s="26"/>
    </row>
    <row r="69" spans="1:17">
      <c r="A69" s="26">
        <v>68</v>
      </c>
      <c r="B69" s="26" t="s">
        <v>847</v>
      </c>
      <c r="C69" s="26" t="s">
        <v>677</v>
      </c>
      <c r="D69" s="110">
        <v>45469</v>
      </c>
      <c r="E69" s="228" t="s">
        <v>949</v>
      </c>
      <c r="F69" s="228"/>
      <c r="G69" s="228"/>
      <c r="H69" s="228"/>
      <c r="I69" s="228"/>
      <c r="J69" s="228"/>
      <c r="K69" s="228"/>
      <c r="L69" s="228"/>
      <c r="M69" s="26" t="s">
        <v>950</v>
      </c>
      <c r="N69" s="26" t="s">
        <v>634</v>
      </c>
      <c r="O69" s="108">
        <v>45469</v>
      </c>
      <c r="P69" s="26" t="s">
        <v>507</v>
      </c>
      <c r="Q69" s="26"/>
    </row>
    <row r="70" spans="1:17">
      <c r="A70" s="26">
        <v>69</v>
      </c>
      <c r="B70" s="26" t="s">
        <v>847</v>
      </c>
      <c r="C70" s="26" t="s">
        <v>606</v>
      </c>
      <c r="D70" s="110">
        <v>45470</v>
      </c>
      <c r="E70" s="230" t="s">
        <v>951</v>
      </c>
      <c r="F70" s="231"/>
      <c r="G70" s="231"/>
      <c r="H70" s="231"/>
      <c r="I70" s="231"/>
      <c r="J70" s="231"/>
      <c r="K70" s="231"/>
      <c r="L70" s="232"/>
      <c r="M70" s="26" t="s">
        <v>952</v>
      </c>
      <c r="N70" s="26" t="s">
        <v>953</v>
      </c>
      <c r="O70" s="108">
        <v>45470</v>
      </c>
      <c r="P70" s="26" t="s">
        <v>507</v>
      </c>
      <c r="Q70" s="26"/>
    </row>
    <row r="71" spans="1:17">
      <c r="A71" s="26">
        <v>70</v>
      </c>
      <c r="B71" s="26" t="s">
        <v>847</v>
      </c>
      <c r="C71" s="26" t="s">
        <v>956</v>
      </c>
      <c r="D71" s="110">
        <v>45470</v>
      </c>
      <c r="E71" s="230" t="s">
        <v>957</v>
      </c>
      <c r="F71" s="231"/>
      <c r="G71" s="231"/>
      <c r="H71" s="231"/>
      <c r="I71" s="231"/>
      <c r="J71" s="231"/>
      <c r="K71" s="231"/>
      <c r="L71" s="232"/>
      <c r="M71" s="26" t="s">
        <v>954</v>
      </c>
      <c r="N71" s="26" t="s">
        <v>955</v>
      </c>
      <c r="O71" s="108">
        <v>45470</v>
      </c>
      <c r="P71" s="26" t="s">
        <v>507</v>
      </c>
      <c r="Q71" s="26"/>
    </row>
    <row r="72" spans="1:17">
      <c r="A72" s="26">
        <v>71</v>
      </c>
      <c r="B72" s="26" t="s">
        <v>847</v>
      </c>
      <c r="C72" s="26" t="s">
        <v>548</v>
      </c>
      <c r="D72" s="110"/>
      <c r="E72" s="230" t="s">
        <v>576</v>
      </c>
      <c r="F72" s="231"/>
      <c r="G72" s="231"/>
      <c r="H72" s="231"/>
      <c r="I72" s="231"/>
      <c r="J72" s="231"/>
      <c r="K72" s="231"/>
      <c r="L72" s="232"/>
      <c r="M72" s="26" t="s">
        <v>577</v>
      </c>
      <c r="N72" s="26" t="s">
        <v>551</v>
      </c>
      <c r="O72" s="108">
        <v>45396</v>
      </c>
      <c r="P72" s="26" t="s">
        <v>507</v>
      </c>
      <c r="Q72" s="26" t="s">
        <v>688</v>
      </c>
    </row>
    <row r="73" spans="1:17">
      <c r="A73" s="26">
        <v>72</v>
      </c>
      <c r="B73" s="26" t="s">
        <v>847</v>
      </c>
      <c r="C73" s="26" t="s">
        <v>677</v>
      </c>
      <c r="D73" s="110"/>
      <c r="E73" s="230" t="s">
        <v>699</v>
      </c>
      <c r="F73" s="231"/>
      <c r="G73" s="231"/>
      <c r="H73" s="231"/>
      <c r="I73" s="231"/>
      <c r="J73" s="231"/>
      <c r="K73" s="231"/>
      <c r="L73" s="232"/>
      <c r="M73" s="26" t="s">
        <v>700</v>
      </c>
      <c r="N73" s="26" t="s">
        <v>551</v>
      </c>
      <c r="O73" s="108">
        <v>45456</v>
      </c>
      <c r="P73" s="26" t="s">
        <v>507</v>
      </c>
      <c r="Q73" s="26" t="s">
        <v>701</v>
      </c>
    </row>
    <row r="74" spans="1:17">
      <c r="A74" s="26">
        <v>73</v>
      </c>
      <c r="B74" s="26" t="s">
        <v>847</v>
      </c>
      <c r="C74" s="26" t="s">
        <v>532</v>
      </c>
      <c r="D74" s="110"/>
      <c r="E74" s="230" t="s">
        <v>719</v>
      </c>
      <c r="F74" s="231"/>
      <c r="G74" s="231"/>
      <c r="H74" s="231"/>
      <c r="I74" s="231"/>
      <c r="J74" s="231"/>
      <c r="K74" s="231"/>
      <c r="L74" s="232"/>
      <c r="M74" s="26" t="s">
        <v>720</v>
      </c>
      <c r="N74" s="26" t="s">
        <v>551</v>
      </c>
      <c r="O74" s="108"/>
      <c r="P74" s="26" t="s">
        <v>507</v>
      </c>
      <c r="Q74" s="26"/>
    </row>
    <row r="75" spans="1:17">
      <c r="A75" s="26">
        <v>74</v>
      </c>
      <c r="B75" s="26" t="s">
        <v>847</v>
      </c>
      <c r="C75" s="26" t="s">
        <v>630</v>
      </c>
      <c r="D75" s="110">
        <v>45442</v>
      </c>
      <c r="E75" s="230" t="s">
        <v>824</v>
      </c>
      <c r="F75" s="231"/>
      <c r="G75" s="231"/>
      <c r="H75" s="231"/>
      <c r="I75" s="231"/>
      <c r="J75" s="231"/>
      <c r="K75" s="231"/>
      <c r="L75" s="232"/>
      <c r="M75" s="26" t="s">
        <v>976</v>
      </c>
      <c r="N75" s="26" t="s">
        <v>551</v>
      </c>
      <c r="O75" s="108">
        <v>45453</v>
      </c>
      <c r="P75" s="26" t="s">
        <v>507</v>
      </c>
      <c r="Q75" s="26"/>
    </row>
    <row r="76" spans="1:17">
      <c r="A76" s="26">
        <v>75</v>
      </c>
      <c r="B76" s="26" t="s">
        <v>847</v>
      </c>
      <c r="C76" s="26" t="s">
        <v>548</v>
      </c>
      <c r="D76" s="110">
        <v>45448</v>
      </c>
      <c r="E76" s="230" t="s">
        <v>852</v>
      </c>
      <c r="F76" s="231"/>
      <c r="G76" s="231"/>
      <c r="H76" s="231"/>
      <c r="I76" s="231"/>
      <c r="J76" s="231"/>
      <c r="K76" s="231"/>
      <c r="L76" s="232"/>
      <c r="M76" s="26" t="s">
        <v>853</v>
      </c>
      <c r="N76" s="26" t="s">
        <v>551</v>
      </c>
      <c r="O76" s="108">
        <v>45493</v>
      </c>
      <c r="P76" s="26" t="s">
        <v>507</v>
      </c>
      <c r="Q76" s="26"/>
    </row>
    <row r="77" spans="1:17">
      <c r="A77" s="26">
        <v>76</v>
      </c>
      <c r="B77" s="26" t="s">
        <v>847</v>
      </c>
      <c r="C77" s="26" t="s">
        <v>890</v>
      </c>
      <c r="D77" s="110">
        <v>45457</v>
      </c>
      <c r="E77" s="230" t="s">
        <v>891</v>
      </c>
      <c r="F77" s="231"/>
      <c r="G77" s="231"/>
      <c r="H77" s="231"/>
      <c r="I77" s="231"/>
      <c r="J77" s="231"/>
      <c r="K77" s="231"/>
      <c r="L77" s="232"/>
      <c r="M77" s="26" t="s">
        <v>892</v>
      </c>
      <c r="N77" s="26" t="s">
        <v>893</v>
      </c>
      <c r="O77" s="108">
        <v>45462</v>
      </c>
      <c r="P77" s="26" t="s">
        <v>507</v>
      </c>
      <c r="Q77" s="26"/>
    </row>
    <row r="78" spans="1:17">
      <c r="A78" s="26">
        <v>77</v>
      </c>
      <c r="B78" s="26" t="s">
        <v>847</v>
      </c>
      <c r="C78" s="26" t="s">
        <v>630</v>
      </c>
      <c r="D78" s="110">
        <v>45467</v>
      </c>
      <c r="E78" s="230" t="s">
        <v>938</v>
      </c>
      <c r="F78" s="231"/>
      <c r="G78" s="231"/>
      <c r="H78" s="231"/>
      <c r="I78" s="231"/>
      <c r="J78" s="231"/>
      <c r="K78" s="231"/>
      <c r="L78" s="232"/>
      <c r="M78" s="26" t="s">
        <v>940</v>
      </c>
      <c r="N78" s="26" t="s">
        <v>551</v>
      </c>
      <c r="O78" s="108">
        <v>45467</v>
      </c>
      <c r="P78" s="26" t="s">
        <v>507</v>
      </c>
      <c r="Q78" s="26"/>
    </row>
  </sheetData>
  <mergeCells count="78">
    <mergeCell ref="E73:L73"/>
    <mergeCell ref="E74:L74"/>
    <mergeCell ref="E72:L72"/>
    <mergeCell ref="E75:L75"/>
    <mergeCell ref="E78:L78"/>
    <mergeCell ref="E76:L76"/>
    <mergeCell ref="E77:L77"/>
    <mergeCell ref="E68:L68"/>
    <mergeCell ref="E69:L69"/>
    <mergeCell ref="E70:L70"/>
    <mergeCell ref="E71:L71"/>
    <mergeCell ref="E67:L67"/>
    <mergeCell ref="E64:L64"/>
    <mergeCell ref="E65:L65"/>
    <mergeCell ref="E66:L66"/>
    <mergeCell ref="E62:L62"/>
    <mergeCell ref="E63:L63"/>
    <mergeCell ref="E61:L61"/>
    <mergeCell ref="E60:L60"/>
    <mergeCell ref="E59:L59"/>
    <mergeCell ref="E57:L57"/>
    <mergeCell ref="E58:L58"/>
    <mergeCell ref="E55:L55"/>
    <mergeCell ref="E56:L56"/>
    <mergeCell ref="E52:L52"/>
    <mergeCell ref="E53:L53"/>
    <mergeCell ref="E54:L54"/>
    <mergeCell ref="E50:L50"/>
    <mergeCell ref="E51:L51"/>
    <mergeCell ref="E48:L48"/>
    <mergeCell ref="E49:L49"/>
    <mergeCell ref="E47:L47"/>
    <mergeCell ref="E46:L46"/>
    <mergeCell ref="E44:L44"/>
    <mergeCell ref="E45:L45"/>
    <mergeCell ref="E43:L43"/>
    <mergeCell ref="E41:L41"/>
    <mergeCell ref="E42:L42"/>
    <mergeCell ref="E39:L39"/>
    <mergeCell ref="E40:L40"/>
    <mergeCell ref="E38:L38"/>
    <mergeCell ref="E35:L35"/>
    <mergeCell ref="E36:L36"/>
    <mergeCell ref="E37:L37"/>
    <mergeCell ref="E33:L33"/>
    <mergeCell ref="E34:L34"/>
    <mergeCell ref="E30:L30"/>
    <mergeCell ref="E31:L31"/>
    <mergeCell ref="E32:L32"/>
    <mergeCell ref="E28:L28"/>
    <mergeCell ref="E29:L29"/>
    <mergeCell ref="E26:L26"/>
    <mergeCell ref="E27:L27"/>
    <mergeCell ref="E23:L23"/>
    <mergeCell ref="E24:L24"/>
    <mergeCell ref="E25:L25"/>
    <mergeCell ref="E19:L19"/>
    <mergeCell ref="E20:L20"/>
    <mergeCell ref="E21:L21"/>
    <mergeCell ref="E22:L22"/>
    <mergeCell ref="E15:L15"/>
    <mergeCell ref="E16:L16"/>
    <mergeCell ref="E17:L17"/>
    <mergeCell ref="E18:L18"/>
    <mergeCell ref="E12:L12"/>
    <mergeCell ref="E13:L13"/>
    <mergeCell ref="E14:L14"/>
    <mergeCell ref="E7:L7"/>
    <mergeCell ref="E8:L8"/>
    <mergeCell ref="E9:L9"/>
    <mergeCell ref="E10:L10"/>
    <mergeCell ref="E11:L11"/>
    <mergeCell ref="E4:L4"/>
    <mergeCell ref="E5:L5"/>
    <mergeCell ref="E6:L6"/>
    <mergeCell ref="E1:L1"/>
    <mergeCell ref="E2:L2"/>
    <mergeCell ref="E3:L3"/>
  </mergeCells>
  <conditionalFormatting sqref="B2:B78">
    <cfRule type="cellIs" dxfId="8" priority="1" operator="equal">
      <formula>"MEDIUM"</formula>
    </cfRule>
    <cfRule type="cellIs" dxfId="7" priority="2" operator="equal">
      <formula>"LOW"</formula>
    </cfRule>
    <cfRule type="cellIs" dxfId="6" priority="3" operator="equal">
      <formula>"HIGH"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20"/>
  <sheetViews>
    <sheetView workbookViewId="0">
      <selection activeCell="D75" sqref="D75"/>
    </sheetView>
  </sheetViews>
  <sheetFormatPr defaultColWidth="5.109375" defaultRowHeight="13.8"/>
  <cols>
    <col min="1" max="1" width="4.6640625" style="118" bestFit="1" customWidth="1"/>
    <col min="2" max="2" width="8.109375" style="118" bestFit="1" customWidth="1"/>
    <col min="3" max="3" width="9" style="118" bestFit="1" customWidth="1"/>
    <col min="4" max="4" width="7" style="118" bestFit="1" customWidth="1"/>
    <col min="5" max="12" width="5.109375" style="118"/>
    <col min="13" max="13" width="62.5546875" style="118" bestFit="1" customWidth="1"/>
    <col min="14" max="14" width="23" style="118" bestFit="1" customWidth="1"/>
    <col min="15" max="15" width="10.44140625" style="118" bestFit="1" customWidth="1"/>
    <col min="16" max="16" width="14.88671875" style="124" bestFit="1" customWidth="1"/>
    <col min="17" max="17" width="45.44140625" style="118" bestFit="1" customWidth="1"/>
    <col min="18" max="16384" width="5.109375" style="118"/>
  </cols>
  <sheetData>
    <row r="1" spans="1:17" s="116" customFormat="1">
      <c r="A1" s="114" t="s">
        <v>513</v>
      </c>
      <c r="B1" s="114" t="s">
        <v>846</v>
      </c>
      <c r="C1" s="114" t="s">
        <v>524</v>
      </c>
      <c r="D1" s="114" t="s">
        <v>512</v>
      </c>
      <c r="E1" s="234" t="s">
        <v>515</v>
      </c>
      <c r="F1" s="234"/>
      <c r="G1" s="234"/>
      <c r="H1" s="234"/>
      <c r="I1" s="234"/>
      <c r="J1" s="234"/>
      <c r="K1" s="234"/>
      <c r="L1" s="234"/>
      <c r="M1" s="114" t="s">
        <v>525</v>
      </c>
      <c r="N1" s="114" t="s">
        <v>526</v>
      </c>
      <c r="O1" s="114" t="s">
        <v>514</v>
      </c>
      <c r="P1" s="114" t="s">
        <v>527</v>
      </c>
      <c r="Q1" s="87"/>
    </row>
    <row r="2" spans="1:17">
      <c r="A2" s="87">
        <v>1</v>
      </c>
      <c r="B2" s="87" t="s">
        <v>847</v>
      </c>
      <c r="C2" s="87" t="s">
        <v>529</v>
      </c>
      <c r="D2" s="87"/>
      <c r="E2" s="233" t="s">
        <v>518</v>
      </c>
      <c r="F2" s="233"/>
      <c r="G2" s="233"/>
      <c r="H2" s="233"/>
      <c r="I2" s="233"/>
      <c r="J2" s="233"/>
      <c r="K2" s="233"/>
      <c r="L2" s="233"/>
      <c r="M2" s="87" t="s">
        <v>601</v>
      </c>
      <c r="N2" s="87" t="s">
        <v>652</v>
      </c>
      <c r="O2" s="119">
        <v>45386</v>
      </c>
      <c r="P2" s="87" t="s">
        <v>528</v>
      </c>
      <c r="Q2" s="87"/>
    </row>
    <row r="3" spans="1:17">
      <c r="A3" s="87">
        <v>2</v>
      </c>
      <c r="B3" s="87" t="s">
        <v>847</v>
      </c>
      <c r="C3" s="87" t="s">
        <v>529</v>
      </c>
      <c r="D3" s="87"/>
      <c r="E3" s="233" t="s">
        <v>530</v>
      </c>
      <c r="F3" s="233"/>
      <c r="G3" s="233"/>
      <c r="H3" s="233"/>
      <c r="I3" s="233"/>
      <c r="J3" s="233"/>
      <c r="K3" s="233"/>
      <c r="L3" s="233"/>
      <c r="M3" s="87"/>
      <c r="N3" s="87" t="s">
        <v>652</v>
      </c>
      <c r="O3" s="87"/>
      <c r="P3" s="87" t="s">
        <v>528</v>
      </c>
      <c r="Q3" s="87"/>
    </row>
    <row r="4" spans="1:17">
      <c r="A4" s="87">
        <v>3</v>
      </c>
      <c r="B4" s="87" t="s">
        <v>847</v>
      </c>
      <c r="C4" s="87" t="s">
        <v>529</v>
      </c>
      <c r="D4" s="87"/>
      <c r="E4" s="233" t="s">
        <v>519</v>
      </c>
      <c r="F4" s="233"/>
      <c r="G4" s="233"/>
      <c r="H4" s="233"/>
      <c r="I4" s="233"/>
      <c r="J4" s="233"/>
      <c r="K4" s="233"/>
      <c r="L4" s="233"/>
      <c r="M4" s="87" t="s">
        <v>531</v>
      </c>
      <c r="N4" s="87" t="s">
        <v>652</v>
      </c>
      <c r="O4" s="119">
        <v>45380</v>
      </c>
      <c r="P4" s="87" t="s">
        <v>528</v>
      </c>
      <c r="Q4" s="87"/>
    </row>
    <row r="5" spans="1:17">
      <c r="A5" s="87">
        <v>4</v>
      </c>
      <c r="B5" s="87"/>
      <c r="C5" s="87" t="s">
        <v>529</v>
      </c>
      <c r="D5" s="87"/>
      <c r="E5" s="233" t="s">
        <v>535</v>
      </c>
      <c r="F5" s="233"/>
      <c r="G5" s="233"/>
      <c r="H5" s="233"/>
      <c r="I5" s="233"/>
      <c r="J5" s="233"/>
      <c r="K5" s="233"/>
      <c r="L5" s="233"/>
      <c r="M5" s="117" t="s">
        <v>536</v>
      </c>
      <c r="N5" s="87" t="s">
        <v>652</v>
      </c>
      <c r="O5" s="87"/>
      <c r="P5" s="87" t="s">
        <v>528</v>
      </c>
      <c r="Q5" s="87"/>
    </row>
    <row r="6" spans="1:17" ht="27.6">
      <c r="A6" s="87">
        <v>5</v>
      </c>
      <c r="B6" s="87"/>
      <c r="C6" s="87" t="s">
        <v>529</v>
      </c>
      <c r="D6" s="87"/>
      <c r="E6" s="233"/>
      <c r="F6" s="233"/>
      <c r="G6" s="233"/>
      <c r="H6" s="233"/>
      <c r="I6" s="233"/>
      <c r="J6" s="233"/>
      <c r="K6" s="233"/>
      <c r="L6" s="233"/>
      <c r="M6" s="117" t="s">
        <v>537</v>
      </c>
      <c r="N6" s="87" t="s">
        <v>652</v>
      </c>
      <c r="O6" s="119">
        <v>45379</v>
      </c>
      <c r="P6" s="87" t="s">
        <v>528</v>
      </c>
      <c r="Q6" s="87"/>
    </row>
    <row r="7" spans="1:17">
      <c r="A7" s="87">
        <v>6</v>
      </c>
      <c r="B7" s="87"/>
      <c r="C7" s="87" t="s">
        <v>529</v>
      </c>
      <c r="D7" s="87"/>
      <c r="E7" s="233"/>
      <c r="F7" s="233"/>
      <c r="G7" s="233"/>
      <c r="H7" s="233"/>
      <c r="I7" s="233"/>
      <c r="J7" s="233"/>
      <c r="K7" s="233"/>
      <c r="L7" s="233"/>
      <c r="M7" s="117" t="s">
        <v>697</v>
      </c>
      <c r="N7" s="87" t="s">
        <v>652</v>
      </c>
      <c r="O7" s="119">
        <v>45379</v>
      </c>
      <c r="P7" s="87" t="s">
        <v>528</v>
      </c>
      <c r="Q7" s="87"/>
    </row>
    <row r="8" spans="1:17">
      <c r="A8" s="87">
        <v>7</v>
      </c>
      <c r="B8" s="87"/>
      <c r="C8" s="87" t="s">
        <v>529</v>
      </c>
      <c r="D8" s="87"/>
      <c r="E8" s="233"/>
      <c r="F8" s="233"/>
      <c r="G8" s="233"/>
      <c r="H8" s="233"/>
      <c r="I8" s="233"/>
      <c r="J8" s="233"/>
      <c r="K8" s="233"/>
      <c r="L8" s="233"/>
      <c r="M8" s="117" t="s">
        <v>540</v>
      </c>
      <c r="N8" s="87" t="s">
        <v>652</v>
      </c>
      <c r="O8" s="119">
        <v>45379</v>
      </c>
      <c r="P8" s="87" t="s">
        <v>528</v>
      </c>
      <c r="Q8" s="87"/>
    </row>
    <row r="9" spans="1:17">
      <c r="A9" s="87">
        <v>8</v>
      </c>
      <c r="B9" s="87"/>
      <c r="C9" s="87" t="s">
        <v>517</v>
      </c>
      <c r="D9" s="87"/>
      <c r="E9" s="233" t="s">
        <v>560</v>
      </c>
      <c r="F9" s="233"/>
      <c r="G9" s="233"/>
      <c r="H9" s="233"/>
      <c r="I9" s="233"/>
      <c r="J9" s="233"/>
      <c r="K9" s="233"/>
      <c r="L9" s="233"/>
      <c r="M9" s="87" t="s">
        <v>561</v>
      </c>
      <c r="N9" s="87" t="s">
        <v>517</v>
      </c>
      <c r="O9" s="119">
        <v>45387</v>
      </c>
      <c r="P9" s="87" t="s">
        <v>528</v>
      </c>
      <c r="Q9" s="87"/>
    </row>
    <row r="10" spans="1:17">
      <c r="A10" s="87">
        <v>9</v>
      </c>
      <c r="B10" s="87"/>
      <c r="C10" s="87" t="s">
        <v>529</v>
      </c>
      <c r="D10" s="87"/>
      <c r="E10" s="233" t="s">
        <v>562</v>
      </c>
      <c r="F10" s="233"/>
      <c r="G10" s="233"/>
      <c r="H10" s="233"/>
      <c r="I10" s="233"/>
      <c r="J10" s="233"/>
      <c r="K10" s="233"/>
      <c r="L10" s="233"/>
      <c r="M10" s="87" t="s">
        <v>563</v>
      </c>
      <c r="N10" s="87" t="s">
        <v>652</v>
      </c>
      <c r="O10" s="119">
        <v>45380</v>
      </c>
      <c r="P10" s="87" t="s">
        <v>528</v>
      </c>
      <c r="Q10" s="87"/>
    </row>
    <row r="11" spans="1:17">
      <c r="A11" s="87">
        <v>10</v>
      </c>
      <c r="B11" s="87"/>
      <c r="C11" s="87"/>
      <c r="D11" s="87"/>
      <c r="E11" s="233"/>
      <c r="F11" s="233"/>
      <c r="G11" s="233"/>
      <c r="H11" s="233"/>
      <c r="I11" s="233"/>
      <c r="J11" s="233"/>
      <c r="K11" s="233"/>
      <c r="L11" s="233"/>
      <c r="M11" s="87" t="s">
        <v>564</v>
      </c>
      <c r="N11" s="87" t="s">
        <v>652</v>
      </c>
      <c r="O11" s="119">
        <v>45381</v>
      </c>
      <c r="P11" s="87" t="s">
        <v>528</v>
      </c>
      <c r="Q11" s="87"/>
    </row>
    <row r="12" spans="1:17">
      <c r="A12" s="87">
        <v>11</v>
      </c>
      <c r="B12" s="87"/>
      <c r="C12" s="87"/>
      <c r="D12" s="87"/>
      <c r="E12" s="233"/>
      <c r="F12" s="233"/>
      <c r="G12" s="233"/>
      <c r="H12" s="233"/>
      <c r="I12" s="233"/>
      <c r="J12" s="233"/>
      <c r="K12" s="233"/>
      <c r="L12" s="233"/>
      <c r="M12" s="87" t="s">
        <v>567</v>
      </c>
      <c r="N12" s="87" t="s">
        <v>517</v>
      </c>
      <c r="O12" s="87" t="s">
        <v>568</v>
      </c>
      <c r="P12" s="87" t="s">
        <v>528</v>
      </c>
      <c r="Q12" s="87"/>
    </row>
    <row r="13" spans="1:17">
      <c r="A13" s="87">
        <v>12</v>
      </c>
      <c r="B13" s="87"/>
      <c r="C13" s="87" t="s">
        <v>529</v>
      </c>
      <c r="D13" s="87"/>
      <c r="E13" s="233" t="s">
        <v>580</v>
      </c>
      <c r="F13" s="233"/>
      <c r="G13" s="233"/>
      <c r="H13" s="233"/>
      <c r="I13" s="233"/>
      <c r="J13" s="233"/>
      <c r="K13" s="233"/>
      <c r="L13" s="233"/>
      <c r="M13" s="87" t="s">
        <v>581</v>
      </c>
      <c r="N13" s="87" t="s">
        <v>652</v>
      </c>
      <c r="O13" s="119">
        <v>45387</v>
      </c>
      <c r="P13" s="87" t="s">
        <v>528</v>
      </c>
      <c r="Q13" s="87"/>
    </row>
    <row r="14" spans="1:17">
      <c r="A14" s="87">
        <v>13</v>
      </c>
      <c r="B14" s="87"/>
      <c r="C14" s="87" t="s">
        <v>529</v>
      </c>
      <c r="D14" s="87"/>
      <c r="E14" s="233" t="s">
        <v>585</v>
      </c>
      <c r="F14" s="233"/>
      <c r="G14" s="233"/>
      <c r="H14" s="233"/>
      <c r="I14" s="233"/>
      <c r="J14" s="233"/>
      <c r="K14" s="233"/>
      <c r="L14" s="233"/>
      <c r="M14" s="87" t="s">
        <v>586</v>
      </c>
      <c r="N14" s="87" t="s">
        <v>652</v>
      </c>
      <c r="O14" s="119">
        <v>45388</v>
      </c>
      <c r="P14" s="87" t="s">
        <v>528</v>
      </c>
      <c r="Q14" s="87"/>
    </row>
    <row r="15" spans="1:17">
      <c r="A15" s="87">
        <v>14</v>
      </c>
      <c r="B15" s="87"/>
      <c r="C15" s="87" t="s">
        <v>529</v>
      </c>
      <c r="D15" s="87"/>
      <c r="E15" s="233" t="s">
        <v>594</v>
      </c>
      <c r="F15" s="233"/>
      <c r="G15" s="233"/>
      <c r="H15" s="233"/>
      <c r="I15" s="233"/>
      <c r="J15" s="233"/>
      <c r="K15" s="233"/>
      <c r="L15" s="233"/>
      <c r="M15" s="87" t="s">
        <v>595</v>
      </c>
      <c r="N15" s="87" t="s">
        <v>652</v>
      </c>
      <c r="O15" s="119">
        <v>45385</v>
      </c>
      <c r="P15" s="87" t="s">
        <v>528</v>
      </c>
      <c r="Q15" s="87"/>
    </row>
    <row r="16" spans="1:17">
      <c r="A16" s="87">
        <v>15</v>
      </c>
      <c r="B16" s="87"/>
      <c r="C16" s="87" t="s">
        <v>548</v>
      </c>
      <c r="D16" s="87"/>
      <c r="E16" s="233" t="s">
        <v>596</v>
      </c>
      <c r="F16" s="233"/>
      <c r="G16" s="233"/>
      <c r="H16" s="233"/>
      <c r="I16" s="233"/>
      <c r="J16" s="233"/>
      <c r="K16" s="233"/>
      <c r="L16" s="233"/>
      <c r="M16" s="87" t="s">
        <v>597</v>
      </c>
      <c r="N16" s="87" t="s">
        <v>522</v>
      </c>
      <c r="O16" s="119">
        <v>45386</v>
      </c>
      <c r="P16" s="87" t="s">
        <v>528</v>
      </c>
      <c r="Q16" s="87"/>
    </row>
    <row r="17" spans="1:17">
      <c r="A17" s="87">
        <v>16</v>
      </c>
      <c r="B17" s="87"/>
      <c r="C17" s="87" t="s">
        <v>599</v>
      </c>
      <c r="D17" s="87"/>
      <c r="E17" s="233" t="s">
        <v>600</v>
      </c>
      <c r="F17" s="233"/>
      <c r="G17" s="233"/>
      <c r="H17" s="233"/>
      <c r="I17" s="233"/>
      <c r="J17" s="233"/>
      <c r="K17" s="233"/>
      <c r="L17" s="233"/>
      <c r="M17" s="87" t="s">
        <v>601</v>
      </c>
      <c r="N17" s="87" t="s">
        <v>602</v>
      </c>
      <c r="O17" s="119" t="s">
        <v>970</v>
      </c>
      <c r="P17" s="87" t="s">
        <v>528</v>
      </c>
      <c r="Q17" s="87"/>
    </row>
    <row r="18" spans="1:17">
      <c r="A18" s="87">
        <v>17</v>
      </c>
      <c r="B18" s="87"/>
      <c r="C18" s="87" t="s">
        <v>548</v>
      </c>
      <c r="D18" s="87"/>
      <c r="E18" s="233" t="s">
        <v>604</v>
      </c>
      <c r="F18" s="233"/>
      <c r="G18" s="233"/>
      <c r="H18" s="233"/>
      <c r="I18" s="233"/>
      <c r="J18" s="233"/>
      <c r="K18" s="233"/>
      <c r="L18" s="233"/>
      <c r="M18" s="87" t="s">
        <v>605</v>
      </c>
      <c r="N18" s="87" t="s">
        <v>551</v>
      </c>
      <c r="O18" s="119">
        <v>45386</v>
      </c>
      <c r="P18" s="87" t="s">
        <v>528</v>
      </c>
      <c r="Q18" s="87" t="s">
        <v>617</v>
      </c>
    </row>
    <row r="19" spans="1:17">
      <c r="A19" s="87">
        <v>18</v>
      </c>
      <c r="B19" s="87"/>
      <c r="C19" s="87" t="s">
        <v>532</v>
      </c>
      <c r="D19" s="87"/>
      <c r="E19" s="233" t="s">
        <v>620</v>
      </c>
      <c r="F19" s="233"/>
      <c r="G19" s="233"/>
      <c r="H19" s="233"/>
      <c r="I19" s="233"/>
      <c r="J19" s="233"/>
      <c r="K19" s="233"/>
      <c r="L19" s="233"/>
      <c r="M19" s="87" t="s">
        <v>621</v>
      </c>
      <c r="N19" s="87" t="s">
        <v>522</v>
      </c>
      <c r="O19" s="119">
        <v>45394</v>
      </c>
      <c r="P19" s="87" t="s">
        <v>528</v>
      </c>
      <c r="Q19" s="87"/>
    </row>
    <row r="20" spans="1:17">
      <c r="A20" s="87">
        <v>19</v>
      </c>
      <c r="B20" s="87"/>
      <c r="C20" s="87" t="s">
        <v>529</v>
      </c>
      <c r="D20" s="87"/>
      <c r="E20" s="233" t="s">
        <v>622</v>
      </c>
      <c r="F20" s="233"/>
      <c r="G20" s="233"/>
      <c r="H20" s="233"/>
      <c r="I20" s="233"/>
      <c r="J20" s="233"/>
      <c r="K20" s="233"/>
      <c r="L20" s="233"/>
      <c r="M20" s="87" t="s">
        <v>623</v>
      </c>
      <c r="N20" s="87" t="s">
        <v>652</v>
      </c>
      <c r="O20" s="119">
        <v>45394</v>
      </c>
      <c r="P20" s="87" t="s">
        <v>528</v>
      </c>
      <c r="Q20" s="87"/>
    </row>
    <row r="21" spans="1:17" ht="27.6">
      <c r="A21" s="87">
        <v>20</v>
      </c>
      <c r="B21" s="87"/>
      <c r="C21" s="87" t="s">
        <v>548</v>
      </c>
      <c r="D21" s="87"/>
      <c r="E21" s="233" t="s">
        <v>624</v>
      </c>
      <c r="F21" s="233"/>
      <c r="G21" s="233"/>
      <c r="H21" s="233"/>
      <c r="I21" s="233"/>
      <c r="J21" s="233"/>
      <c r="K21" s="233"/>
      <c r="L21" s="233"/>
      <c r="M21" s="87" t="s">
        <v>572</v>
      </c>
      <c r="N21" s="87" t="s">
        <v>551</v>
      </c>
      <c r="O21" s="119">
        <v>45473</v>
      </c>
      <c r="P21" s="87" t="s">
        <v>528</v>
      </c>
      <c r="Q21" s="117" t="s">
        <v>865</v>
      </c>
    </row>
    <row r="22" spans="1:17">
      <c r="A22" s="87">
        <v>21</v>
      </c>
      <c r="B22" s="87"/>
      <c r="C22" s="87" t="s">
        <v>548</v>
      </c>
      <c r="D22" s="87"/>
      <c r="E22" s="233" t="s">
        <v>625</v>
      </c>
      <c r="F22" s="233"/>
      <c r="G22" s="233"/>
      <c r="H22" s="233"/>
      <c r="I22" s="233"/>
      <c r="J22" s="233"/>
      <c r="K22" s="233"/>
      <c r="L22" s="233"/>
      <c r="M22" s="87" t="s">
        <v>626</v>
      </c>
      <c r="N22" s="87" t="s">
        <v>634</v>
      </c>
      <c r="O22" s="119">
        <v>45397</v>
      </c>
      <c r="P22" s="87" t="s">
        <v>528</v>
      </c>
      <c r="Q22" s="87"/>
    </row>
    <row r="23" spans="1:17">
      <c r="A23" s="87">
        <v>22</v>
      </c>
      <c r="B23" s="87"/>
      <c r="C23" s="87" t="s">
        <v>532</v>
      </c>
      <c r="D23" s="87"/>
      <c r="E23" s="233" t="s">
        <v>628</v>
      </c>
      <c r="F23" s="233"/>
      <c r="G23" s="233"/>
      <c r="H23" s="233"/>
      <c r="I23" s="233"/>
      <c r="J23" s="233"/>
      <c r="K23" s="233"/>
      <c r="L23" s="233"/>
      <c r="M23" s="87" t="s">
        <v>629</v>
      </c>
      <c r="N23" s="87" t="s">
        <v>630</v>
      </c>
      <c r="O23" s="119">
        <v>45399</v>
      </c>
      <c r="P23" s="87" t="s">
        <v>528</v>
      </c>
      <c r="Q23" s="87"/>
    </row>
    <row r="24" spans="1:17">
      <c r="A24" s="87">
        <v>23</v>
      </c>
      <c r="B24" s="87"/>
      <c r="C24" s="87" t="s">
        <v>599</v>
      </c>
      <c r="D24" s="87"/>
      <c r="E24" s="233" t="s">
        <v>631</v>
      </c>
      <c r="F24" s="233"/>
      <c r="G24" s="233"/>
      <c r="H24" s="233"/>
      <c r="I24" s="233"/>
      <c r="J24" s="233"/>
      <c r="K24" s="233"/>
      <c r="L24" s="233"/>
      <c r="M24" s="87" t="s">
        <v>632</v>
      </c>
      <c r="N24" s="87" t="s">
        <v>633</v>
      </c>
      <c r="O24" s="119">
        <v>45483</v>
      </c>
      <c r="P24" s="87" t="s">
        <v>528</v>
      </c>
      <c r="Q24" s="87"/>
    </row>
    <row r="25" spans="1:17">
      <c r="A25" s="87">
        <v>24</v>
      </c>
      <c r="B25" s="87"/>
      <c r="C25" s="87" t="s">
        <v>532</v>
      </c>
      <c r="D25" s="87"/>
      <c r="E25" s="233" t="s">
        <v>625</v>
      </c>
      <c r="F25" s="233"/>
      <c r="G25" s="233"/>
      <c r="H25" s="233"/>
      <c r="I25" s="233"/>
      <c r="J25" s="233"/>
      <c r="K25" s="233"/>
      <c r="L25" s="233"/>
      <c r="M25" s="87" t="s">
        <v>635</v>
      </c>
      <c r="N25" s="87" t="s">
        <v>532</v>
      </c>
      <c r="O25" s="119">
        <v>45400</v>
      </c>
      <c r="P25" s="87" t="s">
        <v>528</v>
      </c>
      <c r="Q25" s="87"/>
    </row>
    <row r="26" spans="1:17" ht="22.5" customHeight="1">
      <c r="A26" s="87">
        <v>25</v>
      </c>
      <c r="B26" s="87"/>
      <c r="C26" s="87" t="s">
        <v>48</v>
      </c>
      <c r="D26" s="87"/>
      <c r="E26" s="233" t="s">
        <v>972</v>
      </c>
      <c r="F26" s="233"/>
      <c r="G26" s="233"/>
      <c r="H26" s="233"/>
      <c r="I26" s="233"/>
      <c r="J26" s="233"/>
      <c r="K26" s="233"/>
      <c r="L26" s="233"/>
      <c r="M26" s="87" t="s">
        <v>639</v>
      </c>
      <c r="N26" s="87" t="s">
        <v>551</v>
      </c>
      <c r="O26" s="119">
        <v>45416</v>
      </c>
      <c r="P26" s="87" t="s">
        <v>528</v>
      </c>
      <c r="Q26" s="116"/>
    </row>
    <row r="27" spans="1:17">
      <c r="A27" s="87">
        <v>26</v>
      </c>
      <c r="B27" s="87"/>
      <c r="C27" s="87" t="s">
        <v>532</v>
      </c>
      <c r="D27" s="87"/>
      <c r="E27" s="233" t="s">
        <v>641</v>
      </c>
      <c r="F27" s="233"/>
      <c r="G27" s="233"/>
      <c r="H27" s="233"/>
      <c r="I27" s="233"/>
      <c r="J27" s="233"/>
      <c r="K27" s="233"/>
      <c r="L27" s="233"/>
      <c r="M27" s="117" t="s">
        <v>642</v>
      </c>
      <c r="N27" s="87" t="s">
        <v>643</v>
      </c>
      <c r="O27" s="119">
        <v>45404</v>
      </c>
      <c r="P27" s="87" t="s">
        <v>528</v>
      </c>
      <c r="Q27" s="87" t="s">
        <v>660</v>
      </c>
    </row>
    <row r="28" spans="1:17">
      <c r="A28" s="87">
        <v>27</v>
      </c>
      <c r="B28" s="87"/>
      <c r="C28" s="87" t="s">
        <v>517</v>
      </c>
      <c r="D28" s="87"/>
      <c r="E28" s="233" t="s">
        <v>648</v>
      </c>
      <c r="F28" s="233"/>
      <c r="G28" s="233"/>
      <c r="H28" s="233"/>
      <c r="I28" s="233"/>
      <c r="J28" s="233"/>
      <c r="K28" s="233"/>
      <c r="L28" s="233"/>
      <c r="M28" s="87" t="s">
        <v>647</v>
      </c>
      <c r="N28" s="87" t="s">
        <v>517</v>
      </c>
      <c r="O28" s="119">
        <v>45404</v>
      </c>
      <c r="P28" s="87" t="s">
        <v>528</v>
      </c>
      <c r="Q28" s="87"/>
    </row>
    <row r="29" spans="1:17">
      <c r="A29" s="87">
        <v>28</v>
      </c>
      <c r="B29" s="87"/>
      <c r="C29" s="87" t="s">
        <v>529</v>
      </c>
      <c r="D29" s="87"/>
      <c r="E29" s="233" t="s">
        <v>651</v>
      </c>
      <c r="F29" s="233"/>
      <c r="G29" s="233"/>
      <c r="H29" s="233"/>
      <c r="I29" s="233"/>
      <c r="J29" s="233"/>
      <c r="K29" s="233"/>
      <c r="L29" s="233"/>
      <c r="M29" s="87" t="s">
        <v>653</v>
      </c>
      <c r="N29" s="87" t="s">
        <v>652</v>
      </c>
      <c r="O29" s="119">
        <v>45405</v>
      </c>
      <c r="P29" s="87" t="s">
        <v>528</v>
      </c>
      <c r="Q29" s="87"/>
    </row>
    <row r="30" spans="1:17">
      <c r="A30" s="87">
        <v>29</v>
      </c>
      <c r="B30" s="87"/>
      <c r="C30" s="87" t="s">
        <v>529</v>
      </c>
      <c r="D30" s="87"/>
      <c r="E30" s="233" t="s">
        <v>654</v>
      </c>
      <c r="F30" s="233"/>
      <c r="G30" s="233"/>
      <c r="H30" s="233"/>
      <c r="I30" s="233"/>
      <c r="J30" s="233"/>
      <c r="K30" s="233"/>
      <c r="L30" s="233"/>
      <c r="M30" s="87" t="s">
        <v>655</v>
      </c>
      <c r="N30" s="87" t="s">
        <v>652</v>
      </c>
      <c r="O30" s="119">
        <v>45405</v>
      </c>
      <c r="P30" s="87" t="s">
        <v>528</v>
      </c>
      <c r="Q30" s="87"/>
    </row>
    <row r="31" spans="1:17">
      <c r="A31" s="87">
        <v>30</v>
      </c>
      <c r="B31" s="87"/>
      <c r="C31" s="87" t="s">
        <v>529</v>
      </c>
      <c r="D31" s="87"/>
      <c r="E31" s="233" t="s">
        <v>656</v>
      </c>
      <c r="F31" s="233"/>
      <c r="G31" s="233"/>
      <c r="H31" s="233"/>
      <c r="I31" s="233"/>
      <c r="J31" s="233"/>
      <c r="K31" s="233"/>
      <c r="L31" s="233"/>
      <c r="M31" s="87" t="s">
        <v>657</v>
      </c>
      <c r="N31" s="87" t="s">
        <v>652</v>
      </c>
      <c r="O31" s="119">
        <v>45405</v>
      </c>
      <c r="P31" s="87" t="s">
        <v>528</v>
      </c>
      <c r="Q31" s="87"/>
    </row>
    <row r="32" spans="1:17">
      <c r="A32" s="87">
        <v>31</v>
      </c>
      <c r="B32" s="87"/>
      <c r="C32" s="87" t="s">
        <v>529</v>
      </c>
      <c r="D32" s="87"/>
      <c r="E32" s="233" t="s">
        <v>666</v>
      </c>
      <c r="F32" s="233"/>
      <c r="G32" s="233"/>
      <c r="H32" s="233"/>
      <c r="I32" s="233"/>
      <c r="J32" s="233"/>
      <c r="K32" s="233"/>
      <c r="L32" s="233"/>
      <c r="M32" s="87" t="s">
        <v>667</v>
      </c>
      <c r="N32" s="87" t="s">
        <v>652</v>
      </c>
      <c r="O32" s="119">
        <v>45406</v>
      </c>
      <c r="P32" s="87" t="s">
        <v>528</v>
      </c>
      <c r="Q32" s="87"/>
    </row>
    <row r="33" spans="1:17" s="120" customFormat="1">
      <c r="A33" s="87">
        <v>32</v>
      </c>
      <c r="B33" s="87"/>
      <c r="C33" s="87" t="s">
        <v>529</v>
      </c>
      <c r="D33" s="87"/>
      <c r="E33" s="233" t="s">
        <v>668</v>
      </c>
      <c r="F33" s="233"/>
      <c r="G33" s="233"/>
      <c r="H33" s="233"/>
      <c r="I33" s="233"/>
      <c r="J33" s="233"/>
      <c r="K33" s="233"/>
      <c r="L33" s="233"/>
      <c r="M33" s="87" t="s">
        <v>669</v>
      </c>
      <c r="N33" s="87" t="s">
        <v>652</v>
      </c>
      <c r="O33" s="119">
        <v>45407</v>
      </c>
      <c r="P33" s="87" t="s">
        <v>528</v>
      </c>
      <c r="Q33" s="87"/>
    </row>
    <row r="34" spans="1:17">
      <c r="A34" s="87">
        <v>33</v>
      </c>
      <c r="B34" s="87"/>
      <c r="C34" s="87" t="s">
        <v>677</v>
      </c>
      <c r="D34" s="87"/>
      <c r="E34" s="233" t="s">
        <v>672</v>
      </c>
      <c r="F34" s="233"/>
      <c r="G34" s="233"/>
      <c r="H34" s="233"/>
      <c r="I34" s="233"/>
      <c r="J34" s="233"/>
      <c r="K34" s="233"/>
      <c r="L34" s="233"/>
      <c r="M34" s="87" t="s">
        <v>671</v>
      </c>
      <c r="N34" s="87" t="s">
        <v>670</v>
      </c>
      <c r="O34" s="119">
        <v>45408</v>
      </c>
      <c r="P34" s="87" t="s">
        <v>528</v>
      </c>
      <c r="Q34" s="87"/>
    </row>
    <row r="35" spans="1:17">
      <c r="A35" s="87">
        <v>34</v>
      </c>
      <c r="B35" s="87"/>
      <c r="C35" s="87" t="s">
        <v>517</v>
      </c>
      <c r="D35" s="87"/>
      <c r="E35" s="233" t="s">
        <v>673</v>
      </c>
      <c r="F35" s="233"/>
      <c r="G35" s="233"/>
      <c r="H35" s="233"/>
      <c r="I35" s="233"/>
      <c r="J35" s="233"/>
      <c r="K35" s="233"/>
      <c r="L35" s="233"/>
      <c r="M35" s="87" t="s">
        <v>674</v>
      </c>
      <c r="N35" s="87" t="s">
        <v>517</v>
      </c>
      <c r="O35" s="119"/>
      <c r="P35" s="87" t="s">
        <v>528</v>
      </c>
      <c r="Q35" s="87"/>
    </row>
    <row r="36" spans="1:17">
      <c r="A36" s="87">
        <v>35</v>
      </c>
      <c r="B36" s="87"/>
      <c r="C36" s="87" t="s">
        <v>532</v>
      </c>
      <c r="D36" s="87"/>
      <c r="E36" s="233" t="s">
        <v>681</v>
      </c>
      <c r="F36" s="233"/>
      <c r="G36" s="233"/>
      <c r="H36" s="233"/>
      <c r="I36" s="233"/>
      <c r="J36" s="233"/>
      <c r="K36" s="233"/>
      <c r="L36" s="233"/>
      <c r="M36" s="87" t="s">
        <v>682</v>
      </c>
      <c r="N36" s="87" t="s">
        <v>522</v>
      </c>
      <c r="O36" s="119">
        <v>45411</v>
      </c>
      <c r="P36" s="87" t="s">
        <v>528</v>
      </c>
      <c r="Q36" s="87"/>
    </row>
    <row r="37" spans="1:17">
      <c r="A37" s="87">
        <v>36</v>
      </c>
      <c r="B37" s="87"/>
      <c r="C37" s="87" t="s">
        <v>532</v>
      </c>
      <c r="D37" s="87"/>
      <c r="E37" s="233" t="s">
        <v>683</v>
      </c>
      <c r="F37" s="233"/>
      <c r="G37" s="233"/>
      <c r="H37" s="233"/>
      <c r="I37" s="233"/>
      <c r="J37" s="233"/>
      <c r="K37" s="233"/>
      <c r="L37" s="233"/>
      <c r="M37" s="87" t="s">
        <v>684</v>
      </c>
      <c r="N37" s="87" t="s">
        <v>685</v>
      </c>
      <c r="O37" s="119">
        <v>45411</v>
      </c>
      <c r="P37" s="87" t="s">
        <v>528</v>
      </c>
      <c r="Q37" s="87"/>
    </row>
    <row r="38" spans="1:17">
      <c r="A38" s="87">
        <v>37</v>
      </c>
      <c r="B38" s="87"/>
      <c r="C38" s="87" t="s">
        <v>529</v>
      </c>
      <c r="D38" s="87"/>
      <c r="E38" s="233" t="s">
        <v>690</v>
      </c>
      <c r="F38" s="233"/>
      <c r="G38" s="233"/>
      <c r="H38" s="233"/>
      <c r="I38" s="233"/>
      <c r="J38" s="233"/>
      <c r="K38" s="233"/>
      <c r="L38" s="233"/>
      <c r="M38" s="87" t="s">
        <v>691</v>
      </c>
      <c r="N38" s="87" t="s">
        <v>652</v>
      </c>
      <c r="O38" s="119">
        <v>45418</v>
      </c>
      <c r="P38" s="87" t="s">
        <v>528</v>
      </c>
      <c r="Q38" s="87"/>
    </row>
    <row r="39" spans="1:17">
      <c r="A39" s="87">
        <v>38</v>
      </c>
      <c r="B39" s="87"/>
      <c r="C39" s="87" t="s">
        <v>606</v>
      </c>
      <c r="D39" s="87"/>
      <c r="E39" s="233" t="s">
        <v>692</v>
      </c>
      <c r="F39" s="233"/>
      <c r="G39" s="233"/>
      <c r="H39" s="233"/>
      <c r="I39" s="233"/>
      <c r="J39" s="233"/>
      <c r="K39" s="233"/>
      <c r="L39" s="233"/>
      <c r="M39" s="87" t="s">
        <v>693</v>
      </c>
      <c r="N39" s="87" t="s">
        <v>694</v>
      </c>
      <c r="O39" s="119">
        <v>45418</v>
      </c>
      <c r="P39" s="87" t="s">
        <v>528</v>
      </c>
      <c r="Q39" s="87" t="s">
        <v>709</v>
      </c>
    </row>
    <row r="40" spans="1:17">
      <c r="A40" s="87">
        <v>39</v>
      </c>
      <c r="B40" s="87"/>
      <c r="C40" s="87" t="s">
        <v>630</v>
      </c>
      <c r="D40" s="87"/>
      <c r="E40" s="233" t="s">
        <v>702</v>
      </c>
      <c r="F40" s="233"/>
      <c r="G40" s="233"/>
      <c r="H40" s="233"/>
      <c r="I40" s="233"/>
      <c r="J40" s="233"/>
      <c r="K40" s="233"/>
      <c r="L40" s="233"/>
      <c r="M40" s="87" t="s">
        <v>703</v>
      </c>
      <c r="N40" s="87" t="s">
        <v>522</v>
      </c>
      <c r="O40" s="119">
        <v>45419</v>
      </c>
      <c r="P40" s="87" t="s">
        <v>528</v>
      </c>
      <c r="Q40" s="87"/>
    </row>
    <row r="41" spans="1:17">
      <c r="A41" s="87">
        <v>40</v>
      </c>
      <c r="B41" s="87"/>
      <c r="C41" s="87" t="s">
        <v>529</v>
      </c>
      <c r="D41" s="87"/>
      <c r="E41" s="233" t="s">
        <v>707</v>
      </c>
      <c r="F41" s="233"/>
      <c r="G41" s="233"/>
      <c r="H41" s="233"/>
      <c r="I41" s="233"/>
      <c r="J41" s="233"/>
      <c r="K41" s="233"/>
      <c r="L41" s="233"/>
      <c r="M41" s="87" t="s">
        <v>706</v>
      </c>
      <c r="N41" s="87" t="s">
        <v>652</v>
      </c>
      <c r="O41" s="119"/>
      <c r="P41" s="87" t="s">
        <v>528</v>
      </c>
      <c r="Q41" s="87" t="s">
        <v>701</v>
      </c>
    </row>
    <row r="42" spans="1:17">
      <c r="A42" s="87">
        <v>41</v>
      </c>
      <c r="B42" s="87"/>
      <c r="C42" s="87" t="s">
        <v>449</v>
      </c>
      <c r="D42" s="87"/>
      <c r="E42" s="233" t="s">
        <v>710</v>
      </c>
      <c r="F42" s="233"/>
      <c r="G42" s="233"/>
      <c r="H42" s="233"/>
      <c r="I42" s="233"/>
      <c r="J42" s="233"/>
      <c r="K42" s="233"/>
      <c r="L42" s="233"/>
      <c r="M42" s="87"/>
      <c r="N42" s="87" t="s">
        <v>652</v>
      </c>
      <c r="O42" s="119"/>
      <c r="P42" s="87" t="s">
        <v>528</v>
      </c>
      <c r="Q42" s="87"/>
    </row>
    <row r="43" spans="1:17">
      <c r="A43" s="87">
        <v>42</v>
      </c>
      <c r="B43" s="87"/>
      <c r="C43" s="87" t="s">
        <v>529</v>
      </c>
      <c r="D43" s="87"/>
      <c r="E43" s="233" t="s">
        <v>714</v>
      </c>
      <c r="F43" s="233"/>
      <c r="G43" s="233"/>
      <c r="H43" s="233"/>
      <c r="I43" s="233"/>
      <c r="J43" s="233"/>
      <c r="K43" s="233"/>
      <c r="L43" s="233"/>
      <c r="M43" s="87" t="s">
        <v>715</v>
      </c>
      <c r="N43" s="87" t="s">
        <v>652</v>
      </c>
      <c r="O43" s="119">
        <v>45430</v>
      </c>
      <c r="P43" s="87" t="s">
        <v>528</v>
      </c>
      <c r="Q43" s="87"/>
    </row>
    <row r="44" spans="1:17">
      <c r="A44" s="87">
        <v>43</v>
      </c>
      <c r="B44" s="87"/>
      <c r="C44" s="87" t="s">
        <v>529</v>
      </c>
      <c r="D44" s="87"/>
      <c r="E44" s="233" t="s">
        <v>716</v>
      </c>
      <c r="F44" s="233"/>
      <c r="G44" s="233"/>
      <c r="H44" s="233"/>
      <c r="I44" s="233"/>
      <c r="J44" s="233"/>
      <c r="K44" s="233"/>
      <c r="L44" s="233"/>
      <c r="M44" s="87" t="s">
        <v>717</v>
      </c>
      <c r="N44" s="87" t="s">
        <v>652</v>
      </c>
      <c r="O44" s="119"/>
      <c r="P44" s="87" t="s">
        <v>528</v>
      </c>
      <c r="Q44" s="87" t="s">
        <v>718</v>
      </c>
    </row>
    <row r="45" spans="1:17">
      <c r="A45" s="87">
        <v>44</v>
      </c>
      <c r="B45" s="87" t="s">
        <v>854</v>
      </c>
      <c r="C45" s="87" t="s">
        <v>606</v>
      </c>
      <c r="D45" s="121">
        <v>45428</v>
      </c>
      <c r="E45" s="233" t="s">
        <v>721</v>
      </c>
      <c r="F45" s="233"/>
      <c r="G45" s="233"/>
      <c r="H45" s="233"/>
      <c r="I45" s="233"/>
      <c r="J45" s="233"/>
      <c r="K45" s="233"/>
      <c r="L45" s="233"/>
      <c r="M45" s="87" t="s">
        <v>722</v>
      </c>
      <c r="N45" s="87" t="s">
        <v>694</v>
      </c>
      <c r="O45" s="119">
        <v>45429</v>
      </c>
      <c r="P45" s="121" t="s">
        <v>528</v>
      </c>
      <c r="Q45" s="87" t="s">
        <v>760</v>
      </c>
    </row>
    <row r="46" spans="1:17">
      <c r="A46" s="87">
        <v>45</v>
      </c>
      <c r="B46" s="87" t="s">
        <v>847</v>
      </c>
      <c r="C46" s="87" t="s">
        <v>532</v>
      </c>
      <c r="D46" s="121">
        <v>45428</v>
      </c>
      <c r="E46" s="233" t="s">
        <v>723</v>
      </c>
      <c r="F46" s="233"/>
      <c r="G46" s="233"/>
      <c r="H46" s="233"/>
      <c r="I46" s="233"/>
      <c r="J46" s="233"/>
      <c r="K46" s="233"/>
      <c r="L46" s="233"/>
      <c r="M46" s="87" t="s">
        <v>750</v>
      </c>
      <c r="N46" s="87" t="s">
        <v>522</v>
      </c>
      <c r="O46" s="119">
        <v>45429</v>
      </c>
      <c r="P46" s="87" t="s">
        <v>528</v>
      </c>
      <c r="Q46" s="87" t="s">
        <v>751</v>
      </c>
    </row>
    <row r="47" spans="1:17">
      <c r="A47" s="87">
        <v>46</v>
      </c>
      <c r="B47" s="87" t="s">
        <v>847</v>
      </c>
      <c r="C47" s="87" t="s">
        <v>630</v>
      </c>
      <c r="D47" s="121">
        <v>45428</v>
      </c>
      <c r="E47" s="233" t="s">
        <v>724</v>
      </c>
      <c r="F47" s="233"/>
      <c r="G47" s="233"/>
      <c r="H47" s="233"/>
      <c r="I47" s="233"/>
      <c r="J47" s="233"/>
      <c r="K47" s="233"/>
      <c r="L47" s="233"/>
      <c r="M47" s="87" t="s">
        <v>973</v>
      </c>
      <c r="N47" s="87" t="s">
        <v>522</v>
      </c>
      <c r="O47" s="119">
        <v>45429</v>
      </c>
      <c r="P47" s="121" t="s">
        <v>528</v>
      </c>
      <c r="Q47" s="87"/>
    </row>
    <row r="48" spans="1:17">
      <c r="A48" s="87">
        <v>47</v>
      </c>
      <c r="B48" s="87" t="s">
        <v>847</v>
      </c>
      <c r="C48" s="87" t="s">
        <v>529</v>
      </c>
      <c r="D48" s="121">
        <v>45428</v>
      </c>
      <c r="E48" s="233" t="s">
        <v>728</v>
      </c>
      <c r="F48" s="233"/>
      <c r="G48" s="233"/>
      <c r="H48" s="233"/>
      <c r="I48" s="233"/>
      <c r="J48" s="233"/>
      <c r="K48" s="233"/>
      <c r="L48" s="233"/>
      <c r="M48" s="87" t="s">
        <v>725</v>
      </c>
      <c r="N48" s="87" t="s">
        <v>652</v>
      </c>
      <c r="O48" s="119">
        <v>45429</v>
      </c>
      <c r="P48" s="87" t="s">
        <v>528</v>
      </c>
      <c r="Q48" s="87" t="s">
        <v>864</v>
      </c>
    </row>
    <row r="49" spans="1:17">
      <c r="A49" s="87">
        <v>48</v>
      </c>
      <c r="B49" s="87" t="s">
        <v>847</v>
      </c>
      <c r="C49" s="87" t="s">
        <v>532</v>
      </c>
      <c r="D49" s="121">
        <v>45429</v>
      </c>
      <c r="E49" s="233" t="s">
        <v>731</v>
      </c>
      <c r="F49" s="233"/>
      <c r="G49" s="233"/>
      <c r="H49" s="233"/>
      <c r="I49" s="233"/>
      <c r="J49" s="233"/>
      <c r="K49" s="233"/>
      <c r="L49" s="233"/>
      <c r="M49" s="87" t="s">
        <v>732</v>
      </c>
      <c r="N49" s="87" t="s">
        <v>522</v>
      </c>
      <c r="O49" s="119">
        <v>45430</v>
      </c>
      <c r="P49" s="87" t="s">
        <v>528</v>
      </c>
      <c r="Q49" s="87" t="s">
        <v>751</v>
      </c>
    </row>
    <row r="50" spans="1:17">
      <c r="A50" s="87">
        <v>49</v>
      </c>
      <c r="B50" s="87" t="s">
        <v>847</v>
      </c>
      <c r="C50" s="87" t="s">
        <v>517</v>
      </c>
      <c r="D50" s="121">
        <v>45429</v>
      </c>
      <c r="E50" s="233" t="s">
        <v>744</v>
      </c>
      <c r="F50" s="233"/>
      <c r="G50" s="233"/>
      <c r="H50" s="233"/>
      <c r="I50" s="233"/>
      <c r="J50" s="233"/>
      <c r="K50" s="233"/>
      <c r="L50" s="233"/>
      <c r="M50" s="87" t="s">
        <v>745</v>
      </c>
      <c r="N50" s="87" t="s">
        <v>733</v>
      </c>
      <c r="O50" s="119">
        <v>45430</v>
      </c>
      <c r="P50" s="87" t="s">
        <v>528</v>
      </c>
      <c r="Q50" s="87"/>
    </row>
    <row r="51" spans="1:17">
      <c r="A51" s="87">
        <v>50</v>
      </c>
      <c r="B51" s="87" t="s">
        <v>847</v>
      </c>
      <c r="C51" s="87" t="s">
        <v>630</v>
      </c>
      <c r="D51" s="121">
        <v>45429</v>
      </c>
      <c r="E51" s="233" t="s">
        <v>734</v>
      </c>
      <c r="F51" s="233"/>
      <c r="G51" s="233"/>
      <c r="H51" s="233"/>
      <c r="I51" s="233"/>
      <c r="J51" s="233"/>
      <c r="K51" s="233"/>
      <c r="L51" s="233"/>
      <c r="M51" s="87" t="s">
        <v>735</v>
      </c>
      <c r="N51" s="87" t="s">
        <v>522</v>
      </c>
      <c r="O51" s="119">
        <v>45432</v>
      </c>
      <c r="P51" s="87" t="s">
        <v>743</v>
      </c>
      <c r="Q51" s="87"/>
    </row>
    <row r="52" spans="1:17">
      <c r="A52" s="87">
        <v>51</v>
      </c>
      <c r="B52" s="87" t="s">
        <v>847</v>
      </c>
      <c r="C52" s="87" t="s">
        <v>630</v>
      </c>
      <c r="D52" s="121">
        <v>45429</v>
      </c>
      <c r="E52" s="233" t="s">
        <v>736</v>
      </c>
      <c r="F52" s="233"/>
      <c r="G52" s="233"/>
      <c r="H52" s="233"/>
      <c r="I52" s="233"/>
      <c r="J52" s="233"/>
      <c r="K52" s="233"/>
      <c r="L52" s="233"/>
      <c r="M52" s="87" t="s">
        <v>737</v>
      </c>
      <c r="N52" s="87" t="s">
        <v>522</v>
      </c>
      <c r="O52" s="119">
        <v>45429</v>
      </c>
      <c r="P52" s="87" t="s">
        <v>743</v>
      </c>
      <c r="Q52" s="87" t="s">
        <v>751</v>
      </c>
    </row>
    <row r="53" spans="1:17">
      <c r="A53" s="87">
        <v>52</v>
      </c>
      <c r="B53" s="87" t="s">
        <v>847</v>
      </c>
      <c r="C53" s="87" t="s">
        <v>48</v>
      </c>
      <c r="D53" s="121">
        <v>45429</v>
      </c>
      <c r="E53" s="233" t="s">
        <v>738</v>
      </c>
      <c r="F53" s="233"/>
      <c r="G53" s="233"/>
      <c r="H53" s="233"/>
      <c r="I53" s="233"/>
      <c r="J53" s="233"/>
      <c r="K53" s="233"/>
      <c r="L53" s="233"/>
      <c r="M53" s="87" t="s">
        <v>739</v>
      </c>
      <c r="N53" s="87" t="s">
        <v>740</v>
      </c>
      <c r="O53" s="119">
        <v>45429</v>
      </c>
      <c r="P53" s="121" t="s">
        <v>528</v>
      </c>
      <c r="Q53" s="87"/>
    </row>
    <row r="54" spans="1:17" ht="55.2">
      <c r="A54" s="87">
        <v>53</v>
      </c>
      <c r="B54" s="87" t="s">
        <v>847</v>
      </c>
      <c r="C54" s="87" t="s">
        <v>630</v>
      </c>
      <c r="D54" s="121">
        <v>45429</v>
      </c>
      <c r="E54" s="233" t="s">
        <v>741</v>
      </c>
      <c r="F54" s="233"/>
      <c r="G54" s="233"/>
      <c r="H54" s="233"/>
      <c r="I54" s="233"/>
      <c r="J54" s="233"/>
      <c r="K54" s="233"/>
      <c r="L54" s="233"/>
      <c r="M54" s="87" t="s">
        <v>742</v>
      </c>
      <c r="N54" s="87" t="s">
        <v>522</v>
      </c>
      <c r="O54" s="119">
        <v>45429</v>
      </c>
      <c r="P54" s="117" t="s">
        <v>746</v>
      </c>
      <c r="Q54" s="87"/>
    </row>
    <row r="55" spans="1:17">
      <c r="A55" s="87">
        <v>54</v>
      </c>
      <c r="B55" s="87"/>
      <c r="C55" s="87"/>
      <c r="D55" s="87"/>
      <c r="E55" s="233"/>
      <c r="F55" s="233"/>
      <c r="G55" s="233"/>
      <c r="H55" s="233"/>
      <c r="I55" s="233"/>
      <c r="J55" s="233"/>
      <c r="K55" s="233"/>
      <c r="L55" s="233"/>
      <c r="M55" s="87" t="s">
        <v>749</v>
      </c>
      <c r="N55" s="117" t="s">
        <v>740</v>
      </c>
      <c r="O55" s="119"/>
      <c r="P55" s="87" t="s">
        <v>528</v>
      </c>
      <c r="Q55" s="87"/>
    </row>
    <row r="56" spans="1:17">
      <c r="A56" s="87">
        <v>55</v>
      </c>
      <c r="B56" s="87" t="s">
        <v>847</v>
      </c>
      <c r="C56" s="87" t="s">
        <v>529</v>
      </c>
      <c r="D56" s="121">
        <v>45432</v>
      </c>
      <c r="E56" s="233" t="s">
        <v>752</v>
      </c>
      <c r="F56" s="233"/>
      <c r="G56" s="233"/>
      <c r="H56" s="233"/>
      <c r="I56" s="233"/>
      <c r="J56" s="233"/>
      <c r="K56" s="233"/>
      <c r="L56" s="233"/>
      <c r="M56" s="87" t="s">
        <v>753</v>
      </c>
      <c r="N56" s="87" t="s">
        <v>652</v>
      </c>
      <c r="O56" s="119">
        <v>45432</v>
      </c>
      <c r="P56" s="87" t="s">
        <v>528</v>
      </c>
      <c r="Q56" s="87" t="s">
        <v>759</v>
      </c>
    </row>
    <row r="57" spans="1:17">
      <c r="A57" s="87">
        <v>56</v>
      </c>
      <c r="B57" s="87" t="s">
        <v>847</v>
      </c>
      <c r="C57" s="87" t="s">
        <v>529</v>
      </c>
      <c r="D57" s="121">
        <v>45432</v>
      </c>
      <c r="E57" s="233" t="s">
        <v>754</v>
      </c>
      <c r="F57" s="233"/>
      <c r="G57" s="233"/>
      <c r="H57" s="233"/>
      <c r="I57" s="233"/>
      <c r="J57" s="233"/>
      <c r="K57" s="233"/>
      <c r="L57" s="233"/>
      <c r="M57" s="87" t="s">
        <v>753</v>
      </c>
      <c r="N57" s="87" t="s">
        <v>652</v>
      </c>
      <c r="O57" s="119">
        <v>45432</v>
      </c>
      <c r="P57" s="87" t="s">
        <v>528</v>
      </c>
      <c r="Q57" s="87" t="s">
        <v>759</v>
      </c>
    </row>
    <row r="58" spans="1:17">
      <c r="A58" s="87">
        <v>57</v>
      </c>
      <c r="B58" s="87" t="s">
        <v>847</v>
      </c>
      <c r="C58" s="87" t="s">
        <v>677</v>
      </c>
      <c r="D58" s="121">
        <v>45432</v>
      </c>
      <c r="E58" s="233" t="s">
        <v>755</v>
      </c>
      <c r="F58" s="233"/>
      <c r="G58" s="233"/>
      <c r="H58" s="233"/>
      <c r="I58" s="233"/>
      <c r="J58" s="233"/>
      <c r="K58" s="233"/>
      <c r="L58" s="233"/>
      <c r="M58" s="87" t="s">
        <v>756</v>
      </c>
      <c r="N58" s="87" t="s">
        <v>551</v>
      </c>
      <c r="O58" s="119"/>
      <c r="P58" s="87" t="s">
        <v>528</v>
      </c>
      <c r="Q58" s="87"/>
    </row>
    <row r="59" spans="1:17" ht="15">
      <c r="A59" s="87">
        <v>58</v>
      </c>
      <c r="B59" s="87" t="s">
        <v>847</v>
      </c>
      <c r="C59" s="87" t="s">
        <v>677</v>
      </c>
      <c r="D59" s="121">
        <v>45432</v>
      </c>
      <c r="E59" s="233" t="s">
        <v>974</v>
      </c>
      <c r="F59" s="233"/>
      <c r="G59" s="233"/>
      <c r="H59" s="233"/>
      <c r="I59" s="233"/>
      <c r="J59" s="233"/>
      <c r="K59" s="233"/>
      <c r="L59" s="233"/>
      <c r="M59" s="117" t="s">
        <v>975</v>
      </c>
      <c r="N59" s="87" t="s">
        <v>551</v>
      </c>
      <c r="O59" s="119">
        <v>45470</v>
      </c>
      <c r="P59" s="87" t="s">
        <v>528</v>
      </c>
      <c r="Q59" s="87"/>
    </row>
    <row r="60" spans="1:17">
      <c r="A60" s="87">
        <v>59</v>
      </c>
      <c r="B60" s="87" t="s">
        <v>847</v>
      </c>
      <c r="C60" s="87" t="s">
        <v>529</v>
      </c>
      <c r="D60" s="121">
        <v>45433</v>
      </c>
      <c r="E60" s="233" t="s">
        <v>761</v>
      </c>
      <c r="F60" s="233"/>
      <c r="G60" s="233"/>
      <c r="H60" s="233"/>
      <c r="I60" s="233"/>
      <c r="J60" s="233"/>
      <c r="K60" s="233"/>
      <c r="L60" s="233"/>
      <c r="M60" s="87" t="s">
        <v>564</v>
      </c>
      <c r="N60" s="87" t="s">
        <v>652</v>
      </c>
      <c r="O60" s="119">
        <v>45434</v>
      </c>
      <c r="P60" s="87" t="s">
        <v>528</v>
      </c>
      <c r="Q60" s="87"/>
    </row>
    <row r="61" spans="1:17">
      <c r="A61" s="87">
        <v>60</v>
      </c>
      <c r="B61" s="87" t="s">
        <v>847</v>
      </c>
      <c r="C61" s="87" t="s">
        <v>529</v>
      </c>
      <c r="D61" s="121">
        <v>45433</v>
      </c>
      <c r="E61" s="233" t="s">
        <v>762</v>
      </c>
      <c r="F61" s="233"/>
      <c r="G61" s="233"/>
      <c r="H61" s="233"/>
      <c r="I61" s="233"/>
      <c r="J61" s="233"/>
      <c r="K61" s="233"/>
      <c r="L61" s="233"/>
      <c r="M61" s="87" t="s">
        <v>763</v>
      </c>
      <c r="N61" s="87" t="s">
        <v>652</v>
      </c>
      <c r="O61" s="119">
        <v>45433</v>
      </c>
      <c r="P61" s="87" t="s">
        <v>528</v>
      </c>
      <c r="Q61" s="87"/>
    </row>
    <row r="62" spans="1:17" ht="27.6">
      <c r="A62" s="87">
        <v>61</v>
      </c>
      <c r="B62" s="87" t="s">
        <v>847</v>
      </c>
      <c r="C62" s="87" t="s">
        <v>532</v>
      </c>
      <c r="D62" s="121">
        <v>45433</v>
      </c>
      <c r="E62" s="233" t="s">
        <v>764</v>
      </c>
      <c r="F62" s="233"/>
      <c r="G62" s="233"/>
      <c r="H62" s="233"/>
      <c r="I62" s="233"/>
      <c r="J62" s="233"/>
      <c r="K62" s="233"/>
      <c r="L62" s="233"/>
      <c r="M62" s="117" t="s">
        <v>765</v>
      </c>
      <c r="N62" s="117" t="s">
        <v>551</v>
      </c>
      <c r="O62" s="119">
        <v>45433</v>
      </c>
      <c r="P62" s="117" t="s">
        <v>528</v>
      </c>
      <c r="Q62" s="117" t="s">
        <v>766</v>
      </c>
    </row>
    <row r="63" spans="1:17">
      <c r="A63" s="87">
        <v>62</v>
      </c>
      <c r="B63" s="87" t="s">
        <v>847</v>
      </c>
      <c r="C63" s="87" t="s">
        <v>529</v>
      </c>
      <c r="D63" s="121">
        <v>45433</v>
      </c>
      <c r="E63" s="233" t="s">
        <v>767</v>
      </c>
      <c r="F63" s="233"/>
      <c r="G63" s="233"/>
      <c r="H63" s="233"/>
      <c r="I63" s="233"/>
      <c r="J63" s="233"/>
      <c r="K63" s="233"/>
      <c r="L63" s="233"/>
      <c r="M63" s="87" t="s">
        <v>768</v>
      </c>
      <c r="N63" s="87" t="s">
        <v>652</v>
      </c>
      <c r="O63" s="119">
        <v>45433</v>
      </c>
      <c r="P63" s="87" t="s">
        <v>528</v>
      </c>
      <c r="Q63" s="87"/>
    </row>
    <row r="64" spans="1:17">
      <c r="A64" s="87">
        <v>63</v>
      </c>
      <c r="B64" s="87" t="s">
        <v>847</v>
      </c>
      <c r="C64" s="87" t="s">
        <v>630</v>
      </c>
      <c r="D64" s="121">
        <v>45433</v>
      </c>
      <c r="E64" s="233" t="s">
        <v>769</v>
      </c>
      <c r="F64" s="233"/>
      <c r="G64" s="233"/>
      <c r="H64" s="233"/>
      <c r="I64" s="233"/>
      <c r="J64" s="233"/>
      <c r="K64" s="233"/>
      <c r="L64" s="233"/>
      <c r="M64" s="87" t="s">
        <v>770</v>
      </c>
      <c r="N64" s="87" t="s">
        <v>522</v>
      </c>
      <c r="O64" s="119">
        <v>45433</v>
      </c>
      <c r="P64" s="87" t="s">
        <v>528</v>
      </c>
      <c r="Q64" s="87"/>
    </row>
    <row r="65" spans="1:20">
      <c r="A65" s="87">
        <v>64</v>
      </c>
      <c r="B65" s="87" t="s">
        <v>847</v>
      </c>
      <c r="C65" s="87" t="s">
        <v>517</v>
      </c>
      <c r="D65" s="121">
        <v>45433</v>
      </c>
      <c r="E65" s="233" t="s">
        <v>772</v>
      </c>
      <c r="F65" s="233"/>
      <c r="G65" s="233"/>
      <c r="H65" s="233"/>
      <c r="I65" s="233"/>
      <c r="J65" s="233"/>
      <c r="K65" s="233"/>
      <c r="L65" s="233"/>
      <c r="M65" s="87" t="s">
        <v>773</v>
      </c>
      <c r="N65" s="87" t="s">
        <v>733</v>
      </c>
      <c r="O65" s="119">
        <v>45444</v>
      </c>
      <c r="P65" s="87" t="s">
        <v>528</v>
      </c>
      <c r="Q65" s="87"/>
    </row>
    <row r="66" spans="1:20">
      <c r="A66" s="87">
        <v>65</v>
      </c>
      <c r="B66" s="87" t="s">
        <v>847</v>
      </c>
      <c r="C66" s="87" t="s">
        <v>529</v>
      </c>
      <c r="D66" s="121">
        <v>45433</v>
      </c>
      <c r="E66" s="233" t="s">
        <v>774</v>
      </c>
      <c r="F66" s="233"/>
      <c r="G66" s="233"/>
      <c r="H66" s="233"/>
      <c r="I66" s="233"/>
      <c r="J66" s="233"/>
      <c r="K66" s="233"/>
      <c r="L66" s="233"/>
      <c r="M66" s="117" t="s">
        <v>775</v>
      </c>
      <c r="N66" s="87" t="s">
        <v>652</v>
      </c>
      <c r="O66" s="119">
        <v>45434</v>
      </c>
      <c r="P66" s="87" t="s">
        <v>528</v>
      </c>
      <c r="Q66" s="87"/>
    </row>
    <row r="67" spans="1:20">
      <c r="A67" s="87">
        <v>66</v>
      </c>
      <c r="B67" s="87" t="s">
        <v>847</v>
      </c>
      <c r="C67" s="87" t="s">
        <v>778</v>
      </c>
      <c r="D67" s="121">
        <v>45433</v>
      </c>
      <c r="E67" s="233" t="s">
        <v>776</v>
      </c>
      <c r="F67" s="233"/>
      <c r="G67" s="233"/>
      <c r="H67" s="233"/>
      <c r="I67" s="233"/>
      <c r="J67" s="233"/>
      <c r="K67" s="233"/>
      <c r="L67" s="233"/>
      <c r="M67" s="87" t="s">
        <v>777</v>
      </c>
      <c r="N67" s="87" t="s">
        <v>522</v>
      </c>
      <c r="O67" s="119">
        <v>45439</v>
      </c>
      <c r="P67" s="87" t="s">
        <v>528</v>
      </c>
      <c r="Q67" s="87"/>
    </row>
    <row r="68" spans="1:20">
      <c r="A68" s="87">
        <v>67</v>
      </c>
      <c r="B68" s="87" t="s">
        <v>847</v>
      </c>
      <c r="C68" s="87" t="s">
        <v>630</v>
      </c>
      <c r="D68" s="121">
        <v>45433</v>
      </c>
      <c r="E68" s="233" t="s">
        <v>780</v>
      </c>
      <c r="F68" s="233"/>
      <c r="G68" s="233"/>
      <c r="H68" s="233"/>
      <c r="I68" s="233"/>
      <c r="J68" s="233"/>
      <c r="K68" s="233"/>
      <c r="L68" s="233"/>
      <c r="M68" s="87" t="s">
        <v>779</v>
      </c>
      <c r="N68" s="87" t="s">
        <v>783</v>
      </c>
      <c r="O68" s="119">
        <v>45439</v>
      </c>
      <c r="P68" s="87" t="s">
        <v>528</v>
      </c>
      <c r="Q68" s="87"/>
    </row>
    <row r="69" spans="1:20">
      <c r="A69" s="87">
        <v>68</v>
      </c>
      <c r="B69" s="87" t="s">
        <v>847</v>
      </c>
      <c r="C69" s="87" t="s">
        <v>529</v>
      </c>
      <c r="D69" s="121">
        <v>45433</v>
      </c>
      <c r="E69" s="233" t="s">
        <v>781</v>
      </c>
      <c r="F69" s="233"/>
      <c r="G69" s="233"/>
      <c r="H69" s="233"/>
      <c r="I69" s="233"/>
      <c r="J69" s="233"/>
      <c r="K69" s="233"/>
      <c r="L69" s="233"/>
      <c r="M69" s="87" t="s">
        <v>782</v>
      </c>
      <c r="N69" s="87" t="s">
        <v>652</v>
      </c>
      <c r="O69" s="119">
        <v>45447</v>
      </c>
      <c r="P69" s="87" t="s">
        <v>528</v>
      </c>
      <c r="Q69" s="87"/>
    </row>
    <row r="70" spans="1:20" ht="39.6" customHeight="1">
      <c r="A70" s="87">
        <v>69</v>
      </c>
      <c r="B70" s="87" t="s">
        <v>847</v>
      </c>
      <c r="C70" s="87" t="s">
        <v>677</v>
      </c>
      <c r="D70" s="121">
        <v>45436</v>
      </c>
      <c r="E70" s="233" t="s">
        <v>786</v>
      </c>
      <c r="F70" s="233"/>
      <c r="G70" s="233"/>
      <c r="H70" s="233"/>
      <c r="I70" s="233"/>
      <c r="J70" s="233"/>
      <c r="K70" s="233"/>
      <c r="L70" s="233"/>
      <c r="M70" s="87" t="s">
        <v>787</v>
      </c>
      <c r="N70" s="87" t="s">
        <v>740</v>
      </c>
      <c r="O70" s="119">
        <v>45467</v>
      </c>
      <c r="P70" s="87" t="s">
        <v>528</v>
      </c>
      <c r="Q70" s="87"/>
    </row>
    <row r="71" spans="1:20">
      <c r="A71" s="87">
        <v>70</v>
      </c>
      <c r="B71" s="87" t="s">
        <v>847</v>
      </c>
      <c r="C71" s="87" t="s">
        <v>517</v>
      </c>
      <c r="D71" s="121">
        <v>45437</v>
      </c>
      <c r="E71" s="233" t="s">
        <v>788</v>
      </c>
      <c r="F71" s="233"/>
      <c r="G71" s="233"/>
      <c r="H71" s="233"/>
      <c r="I71" s="233"/>
      <c r="J71" s="233"/>
      <c r="K71" s="233"/>
      <c r="L71" s="233"/>
      <c r="M71" s="87" t="s">
        <v>789</v>
      </c>
      <c r="N71" s="87" t="s">
        <v>790</v>
      </c>
      <c r="O71" s="119"/>
      <c r="P71" s="87" t="s">
        <v>528</v>
      </c>
      <c r="Q71" s="87" t="s">
        <v>791</v>
      </c>
    </row>
    <row r="72" spans="1:20">
      <c r="A72" s="87">
        <v>71</v>
      </c>
      <c r="B72" s="87" t="s">
        <v>847</v>
      </c>
      <c r="C72" s="87" t="s">
        <v>677</v>
      </c>
      <c r="D72" s="121">
        <v>45437</v>
      </c>
      <c r="E72" s="233" t="s">
        <v>796</v>
      </c>
      <c r="F72" s="233"/>
      <c r="G72" s="233"/>
      <c r="H72" s="233"/>
      <c r="I72" s="233"/>
      <c r="J72" s="233"/>
      <c r="K72" s="233"/>
      <c r="L72" s="233"/>
      <c r="M72" s="87" t="s">
        <v>795</v>
      </c>
      <c r="N72" s="87" t="s">
        <v>551</v>
      </c>
      <c r="O72" s="119"/>
      <c r="P72" s="87" t="s">
        <v>528</v>
      </c>
      <c r="Q72" s="87"/>
    </row>
    <row r="73" spans="1:20">
      <c r="A73" s="87">
        <v>72</v>
      </c>
      <c r="B73" s="87" t="s">
        <v>847</v>
      </c>
      <c r="C73" s="87" t="s">
        <v>599</v>
      </c>
      <c r="D73" s="121">
        <v>45437</v>
      </c>
      <c r="E73" s="233" t="s">
        <v>797</v>
      </c>
      <c r="F73" s="233"/>
      <c r="G73" s="233"/>
      <c r="H73" s="233"/>
      <c r="I73" s="233"/>
      <c r="J73" s="233"/>
      <c r="K73" s="233"/>
      <c r="L73" s="233"/>
      <c r="M73" s="87" t="s">
        <v>798</v>
      </c>
      <c r="N73" s="87" t="s">
        <v>799</v>
      </c>
      <c r="O73" s="119">
        <v>45490</v>
      </c>
      <c r="P73" s="87" t="s">
        <v>528</v>
      </c>
      <c r="Q73" s="87"/>
    </row>
    <row r="74" spans="1:20">
      <c r="A74" s="87">
        <v>73</v>
      </c>
      <c r="B74" s="87" t="s">
        <v>847</v>
      </c>
      <c r="C74" s="87" t="s">
        <v>606</v>
      </c>
      <c r="D74" s="121">
        <v>45441</v>
      </c>
      <c r="E74" s="233" t="s">
        <v>802</v>
      </c>
      <c r="F74" s="233"/>
      <c r="G74" s="233"/>
      <c r="H74" s="233"/>
      <c r="I74" s="233"/>
      <c r="J74" s="233"/>
      <c r="K74" s="233"/>
      <c r="L74" s="233"/>
      <c r="M74" s="87" t="s">
        <v>803</v>
      </c>
      <c r="N74" s="87" t="s">
        <v>806</v>
      </c>
      <c r="O74" s="119">
        <v>45449</v>
      </c>
      <c r="P74" s="87" t="s">
        <v>528</v>
      </c>
      <c r="Q74" s="87"/>
    </row>
    <row r="75" spans="1:20">
      <c r="A75" s="87">
        <v>74</v>
      </c>
      <c r="B75" s="87" t="s">
        <v>847</v>
      </c>
      <c r="C75" s="87" t="s">
        <v>606</v>
      </c>
      <c r="D75" s="121">
        <v>45441</v>
      </c>
      <c r="E75" s="233" t="s">
        <v>804</v>
      </c>
      <c r="F75" s="233"/>
      <c r="G75" s="233"/>
      <c r="H75" s="233"/>
      <c r="I75" s="233"/>
      <c r="J75" s="233"/>
      <c r="K75" s="233"/>
      <c r="L75" s="233"/>
      <c r="M75" s="117" t="s">
        <v>805</v>
      </c>
      <c r="N75" s="87" t="s">
        <v>806</v>
      </c>
      <c r="O75" s="119">
        <v>45456</v>
      </c>
      <c r="P75" s="117" t="s">
        <v>528</v>
      </c>
      <c r="Q75" s="117"/>
      <c r="R75" s="122"/>
      <c r="S75" s="122"/>
      <c r="T75" s="122"/>
    </row>
    <row r="76" spans="1:20">
      <c r="A76" s="87">
        <v>75</v>
      </c>
      <c r="B76" s="87" t="s">
        <v>847</v>
      </c>
      <c r="C76" s="87" t="s">
        <v>677</v>
      </c>
      <c r="D76" s="121">
        <v>45441</v>
      </c>
      <c r="E76" s="233" t="s">
        <v>807</v>
      </c>
      <c r="F76" s="233"/>
      <c r="G76" s="233"/>
      <c r="H76" s="233"/>
      <c r="I76" s="233"/>
      <c r="J76" s="233"/>
      <c r="K76" s="233"/>
      <c r="L76" s="233"/>
      <c r="M76" s="87" t="s">
        <v>809</v>
      </c>
      <c r="N76" s="87" t="s">
        <v>551</v>
      </c>
      <c r="O76" s="119">
        <v>45444</v>
      </c>
      <c r="P76" s="87" t="s">
        <v>528</v>
      </c>
      <c r="Q76" s="87"/>
    </row>
    <row r="77" spans="1:20" ht="14.4" customHeight="1">
      <c r="A77" s="87">
        <v>76</v>
      </c>
      <c r="B77" s="87" t="s">
        <v>847</v>
      </c>
      <c r="C77" s="87" t="s">
        <v>677</v>
      </c>
      <c r="D77" s="121">
        <v>45441</v>
      </c>
      <c r="E77" s="233" t="s">
        <v>808</v>
      </c>
      <c r="F77" s="233"/>
      <c r="G77" s="233"/>
      <c r="H77" s="233"/>
      <c r="I77" s="233"/>
      <c r="J77" s="233"/>
      <c r="K77" s="233"/>
      <c r="L77" s="233"/>
      <c r="M77" s="87" t="s">
        <v>809</v>
      </c>
      <c r="N77" s="87" t="s">
        <v>551</v>
      </c>
      <c r="O77" s="119">
        <v>45444</v>
      </c>
      <c r="P77" s="87" t="s">
        <v>528</v>
      </c>
      <c r="Q77" s="87"/>
    </row>
    <row r="78" spans="1:20">
      <c r="A78" s="87">
        <v>77</v>
      </c>
      <c r="B78" s="87" t="s">
        <v>847</v>
      </c>
      <c r="C78" s="87" t="s">
        <v>606</v>
      </c>
      <c r="D78" s="121">
        <v>45442</v>
      </c>
      <c r="E78" s="233" t="s">
        <v>810</v>
      </c>
      <c r="F78" s="233"/>
      <c r="G78" s="233"/>
      <c r="H78" s="233"/>
      <c r="I78" s="233"/>
      <c r="J78" s="233"/>
      <c r="K78" s="233"/>
      <c r="L78" s="233"/>
      <c r="M78" s="87" t="s">
        <v>811</v>
      </c>
      <c r="N78" s="87" t="s">
        <v>694</v>
      </c>
      <c r="O78" s="119" t="s">
        <v>812</v>
      </c>
      <c r="P78" s="87" t="s">
        <v>528</v>
      </c>
      <c r="Q78" s="87"/>
    </row>
    <row r="79" spans="1:20" s="116" customFormat="1">
      <c r="A79" s="87">
        <v>78</v>
      </c>
      <c r="B79" s="87" t="s">
        <v>847</v>
      </c>
      <c r="C79" s="87" t="s">
        <v>816</v>
      </c>
      <c r="D79" s="121">
        <v>45442</v>
      </c>
      <c r="E79" s="233" t="s">
        <v>817</v>
      </c>
      <c r="F79" s="233"/>
      <c r="G79" s="233"/>
      <c r="H79" s="233"/>
      <c r="I79" s="233"/>
      <c r="J79" s="233"/>
      <c r="K79" s="233"/>
      <c r="L79" s="233"/>
      <c r="M79" s="87" t="s">
        <v>818</v>
      </c>
      <c r="N79" s="87" t="s">
        <v>555</v>
      </c>
      <c r="O79" s="119">
        <v>45444</v>
      </c>
      <c r="P79" s="87" t="s">
        <v>528</v>
      </c>
      <c r="Q79" s="87"/>
    </row>
    <row r="80" spans="1:20">
      <c r="A80" s="87">
        <v>79</v>
      </c>
      <c r="B80" s="87" t="s">
        <v>847</v>
      </c>
      <c r="C80" s="87" t="s">
        <v>532</v>
      </c>
      <c r="D80" s="121">
        <v>45443</v>
      </c>
      <c r="E80" s="233" t="s">
        <v>825</v>
      </c>
      <c r="F80" s="233"/>
      <c r="G80" s="233"/>
      <c r="H80" s="233"/>
      <c r="I80" s="233"/>
      <c r="J80" s="233"/>
      <c r="K80" s="233"/>
      <c r="L80" s="233"/>
      <c r="M80" s="87" t="s">
        <v>826</v>
      </c>
      <c r="N80" s="87" t="s">
        <v>652</v>
      </c>
      <c r="O80" s="119">
        <v>45443</v>
      </c>
      <c r="P80" s="87" t="s">
        <v>528</v>
      </c>
      <c r="Q80" s="87" t="s">
        <v>827</v>
      </c>
    </row>
    <row r="81" spans="1:17">
      <c r="A81" s="87">
        <v>80</v>
      </c>
      <c r="B81" s="87" t="s">
        <v>847</v>
      </c>
      <c r="C81" s="87" t="s">
        <v>532</v>
      </c>
      <c r="D81" s="121">
        <v>45443</v>
      </c>
      <c r="E81" s="233" t="s">
        <v>829</v>
      </c>
      <c r="F81" s="233"/>
      <c r="G81" s="233"/>
      <c r="H81" s="233"/>
      <c r="I81" s="233"/>
      <c r="J81" s="233"/>
      <c r="K81" s="233"/>
      <c r="L81" s="233"/>
      <c r="M81" s="87" t="s">
        <v>828</v>
      </c>
      <c r="N81" s="87" t="s">
        <v>740</v>
      </c>
      <c r="O81" s="119">
        <v>45443</v>
      </c>
      <c r="P81" s="87" t="s">
        <v>528</v>
      </c>
      <c r="Q81" s="87"/>
    </row>
    <row r="82" spans="1:17">
      <c r="A82" s="87">
        <v>81</v>
      </c>
      <c r="B82" s="87" t="s">
        <v>847</v>
      </c>
      <c r="C82" s="87" t="s">
        <v>529</v>
      </c>
      <c r="D82" s="121">
        <v>45443</v>
      </c>
      <c r="E82" s="233" t="s">
        <v>830</v>
      </c>
      <c r="F82" s="233"/>
      <c r="G82" s="233"/>
      <c r="H82" s="233"/>
      <c r="I82" s="233"/>
      <c r="J82" s="233"/>
      <c r="K82" s="233"/>
      <c r="L82" s="233"/>
      <c r="M82" s="117" t="s">
        <v>831</v>
      </c>
      <c r="N82" s="87" t="s">
        <v>652</v>
      </c>
      <c r="O82" s="119">
        <v>45457</v>
      </c>
      <c r="P82" s="87" t="s">
        <v>528</v>
      </c>
      <c r="Q82" s="87"/>
    </row>
    <row r="83" spans="1:17">
      <c r="A83" s="87">
        <v>82</v>
      </c>
      <c r="B83" s="87" t="s">
        <v>847</v>
      </c>
      <c r="C83" s="87" t="s">
        <v>529</v>
      </c>
      <c r="D83" s="121">
        <v>45443</v>
      </c>
      <c r="E83" s="233" t="s">
        <v>834</v>
      </c>
      <c r="F83" s="233"/>
      <c r="G83" s="233"/>
      <c r="H83" s="233"/>
      <c r="I83" s="233"/>
      <c r="J83" s="233"/>
      <c r="K83" s="233"/>
      <c r="L83" s="233"/>
      <c r="M83" s="87" t="s">
        <v>832</v>
      </c>
      <c r="N83" s="87" t="s">
        <v>833</v>
      </c>
      <c r="O83" s="119">
        <v>45443</v>
      </c>
      <c r="P83" s="87" t="s">
        <v>528</v>
      </c>
      <c r="Q83" s="87"/>
    </row>
    <row r="84" spans="1:17">
      <c r="A84" s="87">
        <v>83</v>
      </c>
      <c r="B84" s="87" t="s">
        <v>847</v>
      </c>
      <c r="C84" s="87" t="s">
        <v>517</v>
      </c>
      <c r="D84" s="121">
        <v>45443</v>
      </c>
      <c r="E84" s="233" t="s">
        <v>835</v>
      </c>
      <c r="F84" s="233"/>
      <c r="G84" s="233"/>
      <c r="H84" s="233"/>
      <c r="I84" s="233"/>
      <c r="J84" s="233"/>
      <c r="K84" s="233"/>
      <c r="L84" s="233"/>
      <c r="M84" s="87" t="s">
        <v>836</v>
      </c>
      <c r="N84" s="87" t="s">
        <v>733</v>
      </c>
      <c r="O84" s="119">
        <v>45443</v>
      </c>
      <c r="P84" s="87" t="s">
        <v>528</v>
      </c>
      <c r="Q84" s="87"/>
    </row>
    <row r="85" spans="1:17" ht="27.6">
      <c r="A85" s="87">
        <v>84</v>
      </c>
      <c r="B85" s="87" t="s">
        <v>847</v>
      </c>
      <c r="C85" s="87" t="s">
        <v>48</v>
      </c>
      <c r="D85" s="121">
        <v>45447</v>
      </c>
      <c r="E85" s="233" t="s">
        <v>841</v>
      </c>
      <c r="F85" s="233"/>
      <c r="G85" s="233"/>
      <c r="H85" s="233"/>
      <c r="I85" s="233"/>
      <c r="J85" s="233"/>
      <c r="K85" s="233"/>
      <c r="L85" s="233"/>
      <c r="M85" s="117" t="s">
        <v>843</v>
      </c>
      <c r="N85" s="87" t="s">
        <v>842</v>
      </c>
      <c r="O85" s="119">
        <v>45447</v>
      </c>
      <c r="P85" s="87" t="s">
        <v>528</v>
      </c>
      <c r="Q85" s="87"/>
    </row>
    <row r="86" spans="1:17">
      <c r="A86" s="87">
        <v>85</v>
      </c>
      <c r="B86" s="87" t="s">
        <v>847</v>
      </c>
      <c r="C86" s="87" t="s">
        <v>677</v>
      </c>
      <c r="D86" s="121">
        <v>45448</v>
      </c>
      <c r="E86" s="233" t="s">
        <v>850</v>
      </c>
      <c r="F86" s="233"/>
      <c r="G86" s="233"/>
      <c r="H86" s="233"/>
      <c r="I86" s="233"/>
      <c r="J86" s="233"/>
      <c r="K86" s="233"/>
      <c r="L86" s="233"/>
      <c r="M86" s="87" t="s">
        <v>851</v>
      </c>
      <c r="N86" s="87" t="s">
        <v>634</v>
      </c>
      <c r="O86" s="119">
        <v>45448</v>
      </c>
      <c r="P86" s="87" t="s">
        <v>528</v>
      </c>
      <c r="Q86" s="87"/>
    </row>
    <row r="87" spans="1:17">
      <c r="A87" s="87">
        <v>86</v>
      </c>
      <c r="B87" s="87" t="s">
        <v>847</v>
      </c>
      <c r="C87" s="87" t="s">
        <v>857</v>
      </c>
      <c r="D87" s="121">
        <v>45448</v>
      </c>
      <c r="E87" s="233" t="s">
        <v>855</v>
      </c>
      <c r="F87" s="233"/>
      <c r="G87" s="233"/>
      <c r="H87" s="233"/>
      <c r="I87" s="233"/>
      <c r="J87" s="233"/>
      <c r="K87" s="233"/>
      <c r="L87" s="233"/>
      <c r="M87" s="87" t="s">
        <v>856</v>
      </c>
      <c r="N87" s="87" t="s">
        <v>665</v>
      </c>
      <c r="O87" s="119">
        <v>45448</v>
      </c>
      <c r="P87" s="87" t="s">
        <v>528</v>
      </c>
      <c r="Q87" s="87"/>
    </row>
    <row r="88" spans="1:17">
      <c r="A88" s="87">
        <v>87</v>
      </c>
      <c r="B88" s="87" t="s">
        <v>847</v>
      </c>
      <c r="C88" s="87" t="s">
        <v>548</v>
      </c>
      <c r="D88" s="121">
        <v>45448</v>
      </c>
      <c r="E88" s="233" t="s">
        <v>858</v>
      </c>
      <c r="F88" s="233"/>
      <c r="G88" s="233"/>
      <c r="H88" s="233"/>
      <c r="I88" s="233"/>
      <c r="J88" s="233"/>
      <c r="K88" s="233"/>
      <c r="L88" s="233"/>
      <c r="M88" s="87" t="s">
        <v>859</v>
      </c>
      <c r="N88" s="87" t="s">
        <v>551</v>
      </c>
      <c r="O88" s="119">
        <v>45460</v>
      </c>
      <c r="P88" s="87" t="s">
        <v>528</v>
      </c>
      <c r="Q88" s="87"/>
    </row>
    <row r="89" spans="1:17">
      <c r="A89" s="87">
        <v>88</v>
      </c>
      <c r="B89" s="87" t="s">
        <v>847</v>
      </c>
      <c r="C89" s="87" t="s">
        <v>529</v>
      </c>
      <c r="D89" s="121">
        <v>45450</v>
      </c>
      <c r="E89" s="233" t="s">
        <v>862</v>
      </c>
      <c r="F89" s="233"/>
      <c r="G89" s="233"/>
      <c r="H89" s="233"/>
      <c r="I89" s="233"/>
      <c r="J89" s="233"/>
      <c r="K89" s="233"/>
      <c r="L89" s="233"/>
      <c r="M89" s="87" t="s">
        <v>863</v>
      </c>
      <c r="N89" s="87" t="s">
        <v>652</v>
      </c>
      <c r="O89" s="119">
        <v>45450</v>
      </c>
      <c r="P89" s="87" t="s">
        <v>528</v>
      </c>
      <c r="Q89" s="87"/>
    </row>
    <row r="90" spans="1:17">
      <c r="A90" s="87">
        <v>89</v>
      </c>
      <c r="B90" s="87" t="s">
        <v>847</v>
      </c>
      <c r="C90" s="87" t="s">
        <v>532</v>
      </c>
      <c r="D90" s="121">
        <v>45450</v>
      </c>
      <c r="E90" s="233" t="s">
        <v>866</v>
      </c>
      <c r="F90" s="233"/>
      <c r="G90" s="233"/>
      <c r="H90" s="233"/>
      <c r="I90" s="233"/>
      <c r="J90" s="233"/>
      <c r="K90" s="233"/>
      <c r="L90" s="233"/>
      <c r="M90" s="87" t="s">
        <v>867</v>
      </c>
      <c r="N90" s="87" t="s">
        <v>652</v>
      </c>
      <c r="O90" s="119">
        <v>45450</v>
      </c>
      <c r="P90" s="87" t="s">
        <v>528</v>
      </c>
      <c r="Q90" s="87"/>
    </row>
    <row r="91" spans="1:17">
      <c r="A91" s="87">
        <v>90</v>
      </c>
      <c r="B91" s="87" t="s">
        <v>847</v>
      </c>
      <c r="C91" s="87" t="s">
        <v>630</v>
      </c>
      <c r="D91" s="121">
        <v>45450</v>
      </c>
      <c r="E91" s="233" t="s">
        <v>868</v>
      </c>
      <c r="F91" s="233"/>
      <c r="G91" s="233"/>
      <c r="H91" s="233"/>
      <c r="I91" s="233"/>
      <c r="J91" s="233"/>
      <c r="K91" s="233"/>
      <c r="L91" s="233"/>
      <c r="M91" s="87" t="s">
        <v>869</v>
      </c>
      <c r="N91" s="87" t="s">
        <v>870</v>
      </c>
      <c r="O91" s="119">
        <v>45451</v>
      </c>
      <c r="P91" s="87" t="s">
        <v>528</v>
      </c>
      <c r="Q91" s="87"/>
    </row>
    <row r="92" spans="1:17">
      <c r="A92" s="87">
        <v>91</v>
      </c>
      <c r="B92" s="87" t="s">
        <v>847</v>
      </c>
      <c r="C92" s="87" t="s">
        <v>548</v>
      </c>
      <c r="D92" s="121">
        <v>45450</v>
      </c>
      <c r="E92" s="233" t="s">
        <v>871</v>
      </c>
      <c r="F92" s="233"/>
      <c r="G92" s="233"/>
      <c r="H92" s="233"/>
      <c r="I92" s="233"/>
      <c r="J92" s="233"/>
      <c r="K92" s="233"/>
      <c r="L92" s="233"/>
      <c r="M92" s="87" t="s">
        <v>872</v>
      </c>
      <c r="N92" s="87" t="s">
        <v>551</v>
      </c>
      <c r="O92" s="119">
        <v>45451</v>
      </c>
      <c r="P92" s="87" t="s">
        <v>528</v>
      </c>
      <c r="Q92" s="87"/>
    </row>
    <row r="93" spans="1:17">
      <c r="A93" s="87">
        <v>92</v>
      </c>
      <c r="B93" s="87" t="s">
        <v>847</v>
      </c>
      <c r="C93" s="87" t="s">
        <v>529</v>
      </c>
      <c r="D93" s="121">
        <v>45450</v>
      </c>
      <c r="E93" s="233" t="s">
        <v>874</v>
      </c>
      <c r="F93" s="233"/>
      <c r="G93" s="233"/>
      <c r="H93" s="233"/>
      <c r="I93" s="233"/>
      <c r="J93" s="233"/>
      <c r="K93" s="233"/>
      <c r="L93" s="233"/>
      <c r="M93" s="87" t="s">
        <v>873</v>
      </c>
      <c r="N93" s="87" t="s">
        <v>652</v>
      </c>
      <c r="O93" s="119">
        <v>45465</v>
      </c>
      <c r="P93" s="87" t="s">
        <v>528</v>
      </c>
      <c r="Q93" s="87"/>
    </row>
    <row r="94" spans="1:17" ht="41.4">
      <c r="A94" s="87">
        <v>93</v>
      </c>
      <c r="B94" s="87" t="s">
        <v>847</v>
      </c>
      <c r="C94" s="87" t="s">
        <v>677</v>
      </c>
      <c r="D94" s="121">
        <v>45455</v>
      </c>
      <c r="E94" s="233" t="s">
        <v>977</v>
      </c>
      <c r="F94" s="233"/>
      <c r="G94" s="233"/>
      <c r="H94" s="233"/>
      <c r="I94" s="233"/>
      <c r="J94" s="233"/>
      <c r="K94" s="233"/>
      <c r="L94" s="233"/>
      <c r="M94" s="117" t="s">
        <v>978</v>
      </c>
      <c r="N94" s="87" t="s">
        <v>875</v>
      </c>
      <c r="O94" s="119">
        <v>45504</v>
      </c>
      <c r="P94" s="123" t="s">
        <v>876</v>
      </c>
      <c r="Q94" s="87"/>
    </row>
    <row r="95" spans="1:17">
      <c r="A95" s="87">
        <v>94</v>
      </c>
      <c r="B95" s="87" t="s">
        <v>847</v>
      </c>
      <c r="C95" s="87" t="s">
        <v>529</v>
      </c>
      <c r="D95" s="121">
        <v>45455</v>
      </c>
      <c r="E95" s="233" t="s">
        <v>877</v>
      </c>
      <c r="F95" s="233"/>
      <c r="G95" s="233"/>
      <c r="H95" s="233"/>
      <c r="I95" s="233"/>
      <c r="J95" s="233"/>
      <c r="K95" s="233"/>
      <c r="L95" s="233"/>
      <c r="M95" s="87" t="s">
        <v>878</v>
      </c>
      <c r="N95" s="87" t="s">
        <v>652</v>
      </c>
      <c r="O95" s="119">
        <v>45462</v>
      </c>
      <c r="P95" s="87" t="s">
        <v>528</v>
      </c>
      <c r="Q95" s="87"/>
    </row>
    <row r="96" spans="1:17">
      <c r="A96" s="87">
        <v>95</v>
      </c>
      <c r="B96" s="87" t="s">
        <v>847</v>
      </c>
      <c r="C96" s="87" t="s">
        <v>677</v>
      </c>
      <c r="D96" s="121">
        <v>45455</v>
      </c>
      <c r="E96" s="233" t="s">
        <v>879</v>
      </c>
      <c r="F96" s="233"/>
      <c r="G96" s="233"/>
      <c r="H96" s="233"/>
      <c r="I96" s="233"/>
      <c r="J96" s="233"/>
      <c r="K96" s="233"/>
      <c r="L96" s="233"/>
      <c r="M96" s="87" t="s">
        <v>880</v>
      </c>
      <c r="N96" s="87" t="s">
        <v>551</v>
      </c>
      <c r="O96" s="119">
        <v>45460</v>
      </c>
      <c r="P96" s="117" t="s">
        <v>981</v>
      </c>
      <c r="Q96" s="87"/>
    </row>
    <row r="97" spans="1:17">
      <c r="A97" s="87">
        <v>96</v>
      </c>
      <c r="B97" s="87" t="s">
        <v>847</v>
      </c>
      <c r="C97" s="87" t="s">
        <v>677</v>
      </c>
      <c r="D97" s="121">
        <v>45455</v>
      </c>
      <c r="E97" s="233" t="s">
        <v>883</v>
      </c>
      <c r="F97" s="233"/>
      <c r="G97" s="233"/>
      <c r="H97" s="233"/>
      <c r="I97" s="233"/>
      <c r="J97" s="233"/>
      <c r="K97" s="233"/>
      <c r="L97" s="233"/>
      <c r="M97" s="87" t="s">
        <v>884</v>
      </c>
      <c r="N97" s="87" t="s">
        <v>886</v>
      </c>
      <c r="O97" s="119">
        <v>45456</v>
      </c>
      <c r="P97" s="87" t="s">
        <v>528</v>
      </c>
      <c r="Q97" s="87"/>
    </row>
    <row r="98" spans="1:17">
      <c r="A98" s="87">
        <v>97</v>
      </c>
      <c r="B98" s="87" t="s">
        <v>847</v>
      </c>
      <c r="C98" s="87" t="s">
        <v>677</v>
      </c>
      <c r="D98" s="121">
        <v>45455</v>
      </c>
      <c r="E98" s="233" t="s">
        <v>883</v>
      </c>
      <c r="F98" s="233"/>
      <c r="G98" s="233"/>
      <c r="H98" s="233"/>
      <c r="I98" s="233"/>
      <c r="J98" s="233"/>
      <c r="K98" s="233"/>
      <c r="L98" s="233"/>
      <c r="M98" s="87" t="s">
        <v>885</v>
      </c>
      <c r="N98" s="87" t="s">
        <v>551</v>
      </c>
      <c r="O98" s="119">
        <v>45456</v>
      </c>
      <c r="P98" s="87" t="s">
        <v>528</v>
      </c>
      <c r="Q98" s="87"/>
    </row>
    <row r="99" spans="1:17" ht="27.6">
      <c r="A99" s="87">
        <v>98</v>
      </c>
      <c r="B99" s="87" t="s">
        <v>847</v>
      </c>
      <c r="C99" s="87" t="s">
        <v>529</v>
      </c>
      <c r="D99" s="121">
        <v>45456</v>
      </c>
      <c r="E99" s="233" t="s">
        <v>887</v>
      </c>
      <c r="F99" s="233"/>
      <c r="G99" s="233"/>
      <c r="H99" s="233"/>
      <c r="I99" s="233"/>
      <c r="J99" s="233"/>
      <c r="K99" s="233"/>
      <c r="L99" s="233"/>
      <c r="M99" s="87" t="s">
        <v>888</v>
      </c>
      <c r="N99" s="117" t="s">
        <v>889</v>
      </c>
      <c r="O99" s="119">
        <v>45457</v>
      </c>
      <c r="P99" s="87" t="s">
        <v>528</v>
      </c>
      <c r="Q99" s="87"/>
    </row>
    <row r="100" spans="1:17">
      <c r="A100" s="87">
        <v>99</v>
      </c>
      <c r="B100" s="87" t="s">
        <v>847</v>
      </c>
      <c r="C100" s="87" t="s">
        <v>517</v>
      </c>
      <c r="D100" s="121">
        <v>45458</v>
      </c>
      <c r="E100" s="233" t="s">
        <v>896</v>
      </c>
      <c r="F100" s="233"/>
      <c r="G100" s="233"/>
      <c r="H100" s="233"/>
      <c r="I100" s="233"/>
      <c r="J100" s="233"/>
      <c r="K100" s="233"/>
      <c r="L100" s="233"/>
      <c r="M100" s="87" t="s">
        <v>894</v>
      </c>
      <c r="N100" s="87" t="s">
        <v>733</v>
      </c>
      <c r="O100" s="119">
        <v>45460</v>
      </c>
      <c r="P100" s="87" t="s">
        <v>528</v>
      </c>
      <c r="Q100" s="87"/>
    </row>
    <row r="101" spans="1:17">
      <c r="A101" s="87">
        <v>100</v>
      </c>
      <c r="B101" s="87" t="s">
        <v>847</v>
      </c>
      <c r="C101" s="87" t="s">
        <v>548</v>
      </c>
      <c r="D101" s="121">
        <v>45458</v>
      </c>
      <c r="E101" s="233" t="s">
        <v>897</v>
      </c>
      <c r="F101" s="233"/>
      <c r="G101" s="233"/>
      <c r="H101" s="233"/>
      <c r="I101" s="233"/>
      <c r="J101" s="233"/>
      <c r="K101" s="233"/>
      <c r="L101" s="233"/>
      <c r="M101" s="87" t="s">
        <v>898</v>
      </c>
      <c r="N101" s="87" t="s">
        <v>551</v>
      </c>
      <c r="O101" s="119">
        <v>45466</v>
      </c>
      <c r="P101" s="87" t="s">
        <v>528</v>
      </c>
      <c r="Q101" s="87"/>
    </row>
    <row r="102" spans="1:17">
      <c r="A102" s="87">
        <v>101</v>
      </c>
      <c r="B102" s="87" t="s">
        <v>847</v>
      </c>
      <c r="C102" s="87" t="s">
        <v>529</v>
      </c>
      <c r="D102" s="121">
        <v>45458</v>
      </c>
      <c r="E102" s="233" t="s">
        <v>900</v>
      </c>
      <c r="F102" s="233"/>
      <c r="G102" s="233"/>
      <c r="H102" s="233"/>
      <c r="I102" s="233"/>
      <c r="J102" s="233"/>
      <c r="K102" s="233"/>
      <c r="L102" s="233"/>
      <c r="M102" s="87" t="s">
        <v>901</v>
      </c>
      <c r="N102" s="87" t="s">
        <v>902</v>
      </c>
      <c r="O102" s="119">
        <v>45460</v>
      </c>
      <c r="P102" s="87" t="s">
        <v>528</v>
      </c>
      <c r="Q102" s="87"/>
    </row>
    <row r="103" spans="1:17">
      <c r="A103" s="87">
        <v>102</v>
      </c>
      <c r="B103" s="87" t="s">
        <v>847</v>
      </c>
      <c r="C103" s="87" t="s">
        <v>677</v>
      </c>
      <c r="D103" s="121">
        <v>45458</v>
      </c>
      <c r="E103" s="233" t="s">
        <v>906</v>
      </c>
      <c r="F103" s="233"/>
      <c r="G103" s="233"/>
      <c r="H103" s="233"/>
      <c r="I103" s="233"/>
      <c r="J103" s="233"/>
      <c r="K103" s="233"/>
      <c r="L103" s="233"/>
      <c r="M103" s="87" t="s">
        <v>907</v>
      </c>
      <c r="N103" s="87" t="s">
        <v>634</v>
      </c>
      <c r="O103" s="119">
        <v>45460</v>
      </c>
      <c r="P103" s="87" t="s">
        <v>528</v>
      </c>
      <c r="Q103" s="87"/>
    </row>
    <row r="104" spans="1:17">
      <c r="A104" s="87">
        <v>103</v>
      </c>
      <c r="B104" s="87" t="s">
        <v>847</v>
      </c>
      <c r="C104" s="87" t="s">
        <v>677</v>
      </c>
      <c r="D104" s="121">
        <v>45460</v>
      </c>
      <c r="E104" s="233" t="s">
        <v>908</v>
      </c>
      <c r="F104" s="233"/>
      <c r="G104" s="233"/>
      <c r="H104" s="233"/>
      <c r="I104" s="233"/>
      <c r="J104" s="233"/>
      <c r="K104" s="233"/>
      <c r="L104" s="233"/>
      <c r="M104" s="87" t="s">
        <v>909</v>
      </c>
      <c r="N104" s="87" t="s">
        <v>634</v>
      </c>
      <c r="O104" s="119">
        <v>45463</v>
      </c>
      <c r="P104" s="87" t="s">
        <v>528</v>
      </c>
      <c r="Q104" s="87"/>
    </row>
    <row r="105" spans="1:17">
      <c r="A105" s="87">
        <v>104</v>
      </c>
      <c r="B105" s="87" t="s">
        <v>847</v>
      </c>
      <c r="C105" s="87" t="s">
        <v>529</v>
      </c>
      <c r="D105" s="121">
        <v>45460</v>
      </c>
      <c r="E105" s="233" t="s">
        <v>979</v>
      </c>
      <c r="F105" s="233"/>
      <c r="G105" s="233"/>
      <c r="H105" s="233"/>
      <c r="I105" s="233"/>
      <c r="J105" s="233"/>
      <c r="K105" s="233"/>
      <c r="L105" s="233"/>
      <c r="M105" s="87" t="s">
        <v>910</v>
      </c>
      <c r="N105" s="87" t="s">
        <v>911</v>
      </c>
      <c r="O105" s="119"/>
      <c r="P105" s="87" t="s">
        <v>528</v>
      </c>
      <c r="Q105" s="87"/>
    </row>
    <row r="106" spans="1:17">
      <c r="A106" s="87">
        <v>105</v>
      </c>
      <c r="B106" s="87" t="s">
        <v>847</v>
      </c>
      <c r="C106" s="87" t="s">
        <v>630</v>
      </c>
      <c r="D106" s="121">
        <v>45462</v>
      </c>
      <c r="E106" s="233" t="s">
        <v>916</v>
      </c>
      <c r="F106" s="233"/>
      <c r="G106" s="233"/>
      <c r="H106" s="233"/>
      <c r="I106" s="233"/>
      <c r="J106" s="233"/>
      <c r="K106" s="233"/>
      <c r="L106" s="233"/>
      <c r="M106" s="87" t="s">
        <v>915</v>
      </c>
      <c r="N106" s="87" t="s">
        <v>917</v>
      </c>
      <c r="O106" s="119">
        <v>45462</v>
      </c>
      <c r="P106" s="87" t="s">
        <v>528</v>
      </c>
      <c r="Q106" s="87"/>
    </row>
    <row r="107" spans="1:17">
      <c r="A107" s="87">
        <v>106</v>
      </c>
      <c r="B107" s="87" t="s">
        <v>847</v>
      </c>
      <c r="C107" s="87" t="s">
        <v>630</v>
      </c>
      <c r="D107" s="121">
        <v>45462</v>
      </c>
      <c r="E107" s="233" t="s">
        <v>918</v>
      </c>
      <c r="F107" s="233"/>
      <c r="G107" s="233"/>
      <c r="H107" s="233"/>
      <c r="I107" s="233"/>
      <c r="J107" s="233"/>
      <c r="K107" s="233"/>
      <c r="L107" s="233"/>
      <c r="M107" s="87" t="s">
        <v>921</v>
      </c>
      <c r="N107" s="87" t="s">
        <v>917</v>
      </c>
      <c r="O107" s="119">
        <v>45462</v>
      </c>
      <c r="P107" s="87" t="s">
        <v>528</v>
      </c>
      <c r="Q107" s="87"/>
    </row>
    <row r="108" spans="1:17">
      <c r="A108" s="87">
        <v>107</v>
      </c>
      <c r="B108" s="87" t="s">
        <v>847</v>
      </c>
      <c r="C108" s="87" t="s">
        <v>529</v>
      </c>
      <c r="D108" s="121">
        <v>45462</v>
      </c>
      <c r="E108" s="233" t="s">
        <v>919</v>
      </c>
      <c r="F108" s="233"/>
      <c r="G108" s="233"/>
      <c r="H108" s="233"/>
      <c r="I108" s="233"/>
      <c r="J108" s="233"/>
      <c r="K108" s="233"/>
      <c r="L108" s="233"/>
      <c r="M108" s="87" t="s">
        <v>920</v>
      </c>
      <c r="N108" s="87" t="s">
        <v>917</v>
      </c>
      <c r="O108" s="119">
        <v>45470</v>
      </c>
      <c r="P108" s="87" t="s">
        <v>528</v>
      </c>
      <c r="Q108" s="87"/>
    </row>
    <row r="109" spans="1:17">
      <c r="A109" s="87">
        <v>108</v>
      </c>
      <c r="B109" s="87" t="s">
        <v>847</v>
      </c>
      <c r="C109" s="87" t="s">
        <v>630</v>
      </c>
      <c r="D109" s="121">
        <v>45462</v>
      </c>
      <c r="E109" s="233" t="s">
        <v>922</v>
      </c>
      <c r="F109" s="233"/>
      <c r="G109" s="233"/>
      <c r="H109" s="233"/>
      <c r="I109" s="233"/>
      <c r="J109" s="233"/>
      <c r="K109" s="233"/>
      <c r="L109" s="233"/>
      <c r="M109" s="87" t="s">
        <v>923</v>
      </c>
      <c r="N109" s="87" t="s">
        <v>522</v>
      </c>
      <c r="O109" s="119">
        <v>45462</v>
      </c>
      <c r="P109" s="87" t="s">
        <v>528</v>
      </c>
      <c r="Q109" s="87"/>
    </row>
    <row r="110" spans="1:17">
      <c r="A110" s="87">
        <v>109</v>
      </c>
      <c r="B110" s="87" t="s">
        <v>847</v>
      </c>
      <c r="C110" s="87" t="s">
        <v>529</v>
      </c>
      <c r="D110" s="121">
        <v>45467</v>
      </c>
      <c r="E110" s="233" t="s">
        <v>931</v>
      </c>
      <c r="F110" s="233"/>
      <c r="G110" s="233"/>
      <c r="H110" s="233"/>
      <c r="I110" s="233"/>
      <c r="J110" s="233"/>
      <c r="K110" s="233"/>
      <c r="L110" s="233"/>
      <c r="M110" s="87" t="s">
        <v>933</v>
      </c>
      <c r="N110" s="87" t="s">
        <v>932</v>
      </c>
      <c r="O110" s="119">
        <v>45467</v>
      </c>
      <c r="P110" s="87" t="s">
        <v>528</v>
      </c>
      <c r="Q110" s="87"/>
    </row>
    <row r="111" spans="1:17">
      <c r="A111" s="87">
        <v>110</v>
      </c>
      <c r="B111" s="87" t="s">
        <v>847</v>
      </c>
      <c r="C111" s="87" t="s">
        <v>529</v>
      </c>
      <c r="D111" s="121">
        <v>45467</v>
      </c>
      <c r="E111" s="233" t="s">
        <v>931</v>
      </c>
      <c r="F111" s="233"/>
      <c r="G111" s="233"/>
      <c r="H111" s="233"/>
      <c r="I111" s="233"/>
      <c r="J111" s="233"/>
      <c r="K111" s="233"/>
      <c r="L111" s="233"/>
      <c r="M111" s="87" t="s">
        <v>934</v>
      </c>
      <c r="N111" s="87" t="s">
        <v>935</v>
      </c>
      <c r="O111" s="119">
        <v>45467</v>
      </c>
      <c r="P111" s="87" t="s">
        <v>528</v>
      </c>
      <c r="Q111" s="87"/>
    </row>
    <row r="112" spans="1:17">
      <c r="A112" s="87">
        <v>111</v>
      </c>
      <c r="B112" s="87" t="s">
        <v>847</v>
      </c>
      <c r="C112" s="87" t="s">
        <v>630</v>
      </c>
      <c r="D112" s="121">
        <v>45467</v>
      </c>
      <c r="E112" s="233" t="s">
        <v>939</v>
      </c>
      <c r="F112" s="233"/>
      <c r="G112" s="233"/>
      <c r="H112" s="233"/>
      <c r="I112" s="233"/>
      <c r="J112" s="233"/>
      <c r="K112" s="233"/>
      <c r="L112" s="233"/>
      <c r="M112" s="87" t="s">
        <v>941</v>
      </c>
      <c r="N112" s="87" t="s">
        <v>917</v>
      </c>
      <c r="O112" s="119">
        <v>45467</v>
      </c>
      <c r="P112" s="87" t="s">
        <v>528</v>
      </c>
      <c r="Q112" s="87"/>
    </row>
    <row r="113" spans="1:17" ht="55.2">
      <c r="A113" s="87">
        <v>112</v>
      </c>
      <c r="B113" s="87" t="s">
        <v>847</v>
      </c>
      <c r="C113" s="87" t="s">
        <v>529</v>
      </c>
      <c r="D113" s="121">
        <v>45467</v>
      </c>
      <c r="E113" s="233" t="s">
        <v>942</v>
      </c>
      <c r="F113" s="233"/>
      <c r="G113" s="233"/>
      <c r="H113" s="233"/>
      <c r="I113" s="233"/>
      <c r="J113" s="233"/>
      <c r="K113" s="233"/>
      <c r="L113" s="233"/>
      <c r="M113" s="87" t="s">
        <v>943</v>
      </c>
      <c r="N113" s="87" t="s">
        <v>917</v>
      </c>
      <c r="O113" s="119">
        <v>45467</v>
      </c>
      <c r="P113" s="117" t="s">
        <v>944</v>
      </c>
      <c r="Q113" s="87"/>
    </row>
    <row r="114" spans="1:17">
      <c r="A114" s="87">
        <v>113</v>
      </c>
      <c r="B114" s="87" t="s">
        <v>847</v>
      </c>
      <c r="C114" s="87" t="s">
        <v>548</v>
      </c>
      <c r="D114" s="121">
        <v>45468</v>
      </c>
      <c r="E114" s="233" t="s">
        <v>947</v>
      </c>
      <c r="F114" s="233"/>
      <c r="G114" s="233"/>
      <c r="H114" s="233"/>
      <c r="I114" s="233"/>
      <c r="J114" s="233"/>
      <c r="K114" s="233"/>
      <c r="L114" s="233"/>
      <c r="M114" s="87" t="s">
        <v>948</v>
      </c>
      <c r="N114" s="87" t="s">
        <v>551</v>
      </c>
      <c r="O114" s="119"/>
      <c r="P114" s="87" t="s">
        <v>528</v>
      </c>
      <c r="Q114" s="87"/>
    </row>
    <row r="115" spans="1:17">
      <c r="A115" s="87">
        <v>114</v>
      </c>
      <c r="B115" s="87" t="s">
        <v>847</v>
      </c>
      <c r="C115" s="87" t="s">
        <v>956</v>
      </c>
      <c r="D115" s="121">
        <v>45470</v>
      </c>
      <c r="E115" s="233" t="s">
        <v>958</v>
      </c>
      <c r="F115" s="233"/>
      <c r="G115" s="233"/>
      <c r="H115" s="233"/>
      <c r="I115" s="233"/>
      <c r="J115" s="233"/>
      <c r="K115" s="233"/>
      <c r="L115" s="233"/>
      <c r="M115" s="87" t="s">
        <v>959</v>
      </c>
      <c r="N115" s="87" t="s">
        <v>955</v>
      </c>
      <c r="O115" s="119">
        <v>45470</v>
      </c>
      <c r="P115" s="87" t="s">
        <v>528</v>
      </c>
      <c r="Q115" s="87"/>
    </row>
    <row r="116" spans="1:17">
      <c r="A116" s="87">
        <v>115</v>
      </c>
      <c r="B116" s="87" t="s">
        <v>847</v>
      </c>
      <c r="C116" s="87" t="s">
        <v>529</v>
      </c>
      <c r="D116" s="121">
        <v>45472</v>
      </c>
      <c r="E116" s="233" t="s">
        <v>960</v>
      </c>
      <c r="F116" s="233"/>
      <c r="G116" s="233"/>
      <c r="H116" s="233"/>
      <c r="I116" s="233"/>
      <c r="J116" s="233"/>
      <c r="K116" s="233"/>
      <c r="L116" s="233"/>
      <c r="M116" s="87" t="s">
        <v>961</v>
      </c>
      <c r="N116" s="87" t="s">
        <v>917</v>
      </c>
      <c r="O116" s="119">
        <v>45480</v>
      </c>
      <c r="P116" s="87" t="s">
        <v>528</v>
      </c>
      <c r="Q116" s="87"/>
    </row>
    <row r="117" spans="1:17">
      <c r="A117" s="87">
        <v>116</v>
      </c>
      <c r="B117" s="87" t="s">
        <v>847</v>
      </c>
      <c r="C117" s="87" t="s">
        <v>677</v>
      </c>
      <c r="D117" s="121">
        <v>45474</v>
      </c>
      <c r="E117" s="233" t="s">
        <v>962</v>
      </c>
      <c r="F117" s="233"/>
      <c r="G117" s="233"/>
      <c r="H117" s="233"/>
      <c r="I117" s="233"/>
      <c r="J117" s="233"/>
      <c r="K117" s="233"/>
      <c r="L117" s="233"/>
      <c r="M117" s="87" t="s">
        <v>963</v>
      </c>
      <c r="N117" s="87" t="s">
        <v>955</v>
      </c>
      <c r="O117" s="119">
        <v>45474</v>
      </c>
      <c r="P117" s="87" t="s">
        <v>528</v>
      </c>
      <c r="Q117" s="87"/>
    </row>
    <row r="118" spans="1:17">
      <c r="A118" s="87">
        <v>117</v>
      </c>
      <c r="B118" s="87" t="s">
        <v>847</v>
      </c>
      <c r="C118" s="87" t="s">
        <v>956</v>
      </c>
      <c r="D118" s="121">
        <v>45474</v>
      </c>
      <c r="E118" s="233" t="s">
        <v>964</v>
      </c>
      <c r="F118" s="233"/>
      <c r="G118" s="233"/>
      <c r="H118" s="233"/>
      <c r="I118" s="233"/>
      <c r="J118" s="233"/>
      <c r="K118" s="233"/>
      <c r="L118" s="233"/>
      <c r="M118" s="87" t="s">
        <v>965</v>
      </c>
      <c r="N118" s="87" t="s">
        <v>955</v>
      </c>
      <c r="O118" s="119">
        <v>45474</v>
      </c>
      <c r="P118" s="87" t="s">
        <v>528</v>
      </c>
      <c r="Q118" s="87"/>
    </row>
    <row r="119" spans="1:17">
      <c r="A119" s="87">
        <v>118</v>
      </c>
      <c r="B119" s="87" t="s">
        <v>847</v>
      </c>
      <c r="C119" s="87" t="s">
        <v>890</v>
      </c>
      <c r="D119" s="121">
        <v>45475</v>
      </c>
      <c r="E119" s="233" t="s">
        <v>966</v>
      </c>
      <c r="F119" s="233"/>
      <c r="G119" s="233"/>
      <c r="H119" s="233"/>
      <c r="I119" s="233"/>
      <c r="J119" s="233"/>
      <c r="K119" s="233"/>
      <c r="L119" s="233"/>
      <c r="M119" s="87" t="s">
        <v>967</v>
      </c>
      <c r="N119" s="87" t="s">
        <v>646</v>
      </c>
      <c r="O119" s="119">
        <v>45504</v>
      </c>
      <c r="P119" s="87" t="s">
        <v>528</v>
      </c>
      <c r="Q119" s="87"/>
    </row>
    <row r="120" spans="1:17">
      <c r="A120" s="87">
        <v>119</v>
      </c>
      <c r="B120" s="87" t="s">
        <v>847</v>
      </c>
      <c r="C120" s="87" t="s">
        <v>532</v>
      </c>
      <c r="D120" s="121">
        <v>45475</v>
      </c>
      <c r="E120" s="233" t="s">
        <v>969</v>
      </c>
      <c r="F120" s="233"/>
      <c r="G120" s="233"/>
      <c r="H120" s="233"/>
      <c r="I120" s="233"/>
      <c r="J120" s="233"/>
      <c r="K120" s="233"/>
      <c r="L120" s="233"/>
      <c r="M120" s="87" t="s">
        <v>968</v>
      </c>
      <c r="N120" s="87" t="s">
        <v>522</v>
      </c>
      <c r="O120" s="119">
        <v>45476</v>
      </c>
      <c r="P120" s="87" t="s">
        <v>528</v>
      </c>
      <c r="Q120" s="87"/>
    </row>
  </sheetData>
  <autoFilter ref="A1:T120" xr:uid="{00000000-0009-0000-0000-00000D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20">
    <mergeCell ref="E116:L116"/>
    <mergeCell ref="E117:L117"/>
    <mergeCell ref="E118:L118"/>
    <mergeCell ref="E119:L119"/>
    <mergeCell ref="E120:L120"/>
    <mergeCell ref="E114:L114"/>
    <mergeCell ref="E115:L115"/>
    <mergeCell ref="E110:L110"/>
    <mergeCell ref="E111:L111"/>
    <mergeCell ref="E112:L112"/>
    <mergeCell ref="E113:L113"/>
    <mergeCell ref="E107:L107"/>
    <mergeCell ref="E108:L108"/>
    <mergeCell ref="E109:L109"/>
    <mergeCell ref="E103:L103"/>
    <mergeCell ref="E104:L104"/>
    <mergeCell ref="E105:L105"/>
    <mergeCell ref="E106:L106"/>
    <mergeCell ref="E99:L99"/>
    <mergeCell ref="E100:L100"/>
    <mergeCell ref="E101:L101"/>
    <mergeCell ref="E102:L102"/>
    <mergeCell ref="E94:L94"/>
    <mergeCell ref="E95:L95"/>
    <mergeCell ref="E96:L96"/>
    <mergeCell ref="E97:L97"/>
    <mergeCell ref="E98:L98"/>
    <mergeCell ref="E89:L89"/>
    <mergeCell ref="E90:L90"/>
    <mergeCell ref="E91:L91"/>
    <mergeCell ref="E92:L92"/>
    <mergeCell ref="E93:L93"/>
    <mergeCell ref="E86:L86"/>
    <mergeCell ref="E87:L87"/>
    <mergeCell ref="E88:L88"/>
    <mergeCell ref="E82:L82"/>
    <mergeCell ref="E83:L83"/>
    <mergeCell ref="E84:L84"/>
    <mergeCell ref="E85:L85"/>
    <mergeCell ref="E80:L80"/>
    <mergeCell ref="E81:L81"/>
    <mergeCell ref="E76:L76"/>
    <mergeCell ref="E77:L77"/>
    <mergeCell ref="E78:L78"/>
    <mergeCell ref="E79:L79"/>
    <mergeCell ref="E72:L72"/>
    <mergeCell ref="E73:L73"/>
    <mergeCell ref="E74:L74"/>
    <mergeCell ref="E75:L75"/>
    <mergeCell ref="E67:L67"/>
    <mergeCell ref="E68:L68"/>
    <mergeCell ref="E69:L69"/>
    <mergeCell ref="E70:L70"/>
    <mergeCell ref="E71:L71"/>
    <mergeCell ref="E62:L62"/>
    <mergeCell ref="E63:L63"/>
    <mergeCell ref="E64:L64"/>
    <mergeCell ref="E65:L65"/>
    <mergeCell ref="E66:L66"/>
    <mergeCell ref="E58:L58"/>
    <mergeCell ref="E59:L59"/>
    <mergeCell ref="E60:L60"/>
    <mergeCell ref="E61:L61"/>
    <mergeCell ref="E53:L53"/>
    <mergeCell ref="E54:L54"/>
    <mergeCell ref="E55:L55"/>
    <mergeCell ref="E56:L56"/>
    <mergeCell ref="E57:L57"/>
    <mergeCell ref="E49:L49"/>
    <mergeCell ref="E50:L50"/>
    <mergeCell ref="E51:L51"/>
    <mergeCell ref="E52:L52"/>
    <mergeCell ref="E44:L44"/>
    <mergeCell ref="E45:L45"/>
    <mergeCell ref="E46:L46"/>
    <mergeCell ref="E47:L47"/>
    <mergeCell ref="E48:L48"/>
    <mergeCell ref="E40:L40"/>
    <mergeCell ref="E41:L41"/>
    <mergeCell ref="E42:L42"/>
    <mergeCell ref="E43:L43"/>
    <mergeCell ref="E36:L36"/>
    <mergeCell ref="E37:L37"/>
    <mergeCell ref="E38:L38"/>
    <mergeCell ref="E39:L39"/>
    <mergeCell ref="E33:L33"/>
    <mergeCell ref="E34:L34"/>
    <mergeCell ref="E35:L35"/>
    <mergeCell ref="E29:L29"/>
    <mergeCell ref="E30:L30"/>
    <mergeCell ref="E31:L31"/>
    <mergeCell ref="E32:L32"/>
    <mergeCell ref="E27:L27"/>
    <mergeCell ref="E28:L28"/>
    <mergeCell ref="E22:L22"/>
    <mergeCell ref="E23:L23"/>
    <mergeCell ref="E24:L24"/>
    <mergeCell ref="E25:L25"/>
    <mergeCell ref="E18:L18"/>
    <mergeCell ref="E19:L19"/>
    <mergeCell ref="E20:L20"/>
    <mergeCell ref="E21:L21"/>
    <mergeCell ref="E17:L17"/>
    <mergeCell ref="E13:L13"/>
    <mergeCell ref="E14:L14"/>
    <mergeCell ref="E12:L12"/>
    <mergeCell ref="E9:L9"/>
    <mergeCell ref="E10:L10"/>
    <mergeCell ref="E11:L11"/>
    <mergeCell ref="E8:L8"/>
    <mergeCell ref="E26:L26"/>
    <mergeCell ref="E5:L5"/>
    <mergeCell ref="E6:L6"/>
    <mergeCell ref="E7:L7"/>
    <mergeCell ref="E1:L1"/>
    <mergeCell ref="E2:L2"/>
    <mergeCell ref="E3:L3"/>
    <mergeCell ref="E4:L4"/>
    <mergeCell ref="E15:L15"/>
    <mergeCell ref="E16:L16"/>
  </mergeCells>
  <conditionalFormatting sqref="B2:B120">
    <cfRule type="cellIs" dxfId="5" priority="1" operator="equal">
      <formula>"MEDIUM"</formula>
    </cfRule>
    <cfRule type="cellIs" dxfId="4" priority="2" operator="equal">
      <formula>"LOW"</formula>
    </cfRule>
    <cfRule type="cellIs" dxfId="3" priority="3" operator="equal">
      <formula>"HIGH"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4"/>
  <sheetViews>
    <sheetView tabSelected="1" zoomScale="82" workbookViewId="0">
      <pane ySplit="1" topLeftCell="A2" activePane="bottomLeft" state="frozen"/>
      <selection pane="bottomLeft" activeCell="H19" sqref="H19"/>
    </sheetView>
  </sheetViews>
  <sheetFormatPr defaultColWidth="4.88671875" defaultRowHeight="13.8"/>
  <cols>
    <col min="1" max="1" width="4.44140625" style="124" bestFit="1" customWidth="1"/>
    <col min="2" max="2" width="7.5546875" style="118" bestFit="1" customWidth="1"/>
    <col min="3" max="3" width="10.6640625" style="124" customWidth="1"/>
    <col min="4" max="4" width="10.109375" style="124" bestFit="1" customWidth="1"/>
    <col min="5" max="5" width="44.109375" style="118" bestFit="1" customWidth="1"/>
    <col min="6" max="6" width="62.88671875" style="118" bestFit="1" customWidth="1"/>
    <col min="7" max="7" width="18.5546875" style="118" customWidth="1"/>
    <col min="8" max="8" width="37.44140625" style="118" customWidth="1"/>
    <col min="9" max="9" width="10.88671875" style="116" customWidth="1"/>
    <col min="10" max="10" width="8.33203125" style="124" customWidth="1"/>
    <col min="11" max="11" width="18.109375" style="118" customWidth="1"/>
    <col min="12" max="14" width="4.88671875" style="118"/>
    <col min="15" max="15" width="1.6640625" style="118" customWidth="1"/>
    <col min="16" max="16" width="8" style="118" customWidth="1"/>
    <col min="17" max="16384" width="4.88671875" style="118"/>
  </cols>
  <sheetData>
    <row r="1" spans="1:11" s="116" customFormat="1" ht="12.75" customHeight="1">
      <c r="A1" s="114" t="s">
        <v>513</v>
      </c>
      <c r="B1" s="114" t="s">
        <v>846</v>
      </c>
      <c r="C1" s="114" t="s">
        <v>524</v>
      </c>
      <c r="D1" s="114" t="s">
        <v>512</v>
      </c>
      <c r="E1" s="115" t="s">
        <v>515</v>
      </c>
      <c r="F1" s="114" t="s">
        <v>525</v>
      </c>
      <c r="G1" s="114" t="s">
        <v>526</v>
      </c>
      <c r="H1" s="238" t="s">
        <v>1201</v>
      </c>
      <c r="I1" s="114" t="s">
        <v>514</v>
      </c>
      <c r="J1" s="114" t="s">
        <v>527</v>
      </c>
      <c r="K1" s="114" t="s">
        <v>980</v>
      </c>
    </row>
    <row r="2" spans="1:11" ht="12.75" customHeight="1">
      <c r="A2" s="87">
        <v>1</v>
      </c>
      <c r="B2" s="87" t="s">
        <v>847</v>
      </c>
      <c r="C2" s="87" t="s">
        <v>630</v>
      </c>
      <c r="D2" s="121">
        <v>46132</v>
      </c>
      <c r="E2" s="122" t="s">
        <v>982</v>
      </c>
      <c r="F2" s="127"/>
      <c r="G2" s="126" t="s">
        <v>522</v>
      </c>
      <c r="H2" s="235" t="s">
        <v>1202</v>
      </c>
      <c r="I2" s="121">
        <v>46132</v>
      </c>
      <c r="J2" s="87" t="s">
        <v>528</v>
      </c>
      <c r="K2" s="87"/>
    </row>
    <row r="3" spans="1:11" ht="12.75" customHeight="1">
      <c r="A3" s="87">
        <v>2</v>
      </c>
      <c r="B3" s="87" t="s">
        <v>847</v>
      </c>
      <c r="C3" s="87" t="s">
        <v>630</v>
      </c>
      <c r="D3" s="121">
        <v>46132</v>
      </c>
      <c r="E3" s="122" t="s">
        <v>983</v>
      </c>
      <c r="F3" s="127"/>
      <c r="G3" s="126" t="s">
        <v>522</v>
      </c>
      <c r="H3" s="236" t="s">
        <v>1202</v>
      </c>
      <c r="I3" s="121">
        <v>46132</v>
      </c>
      <c r="J3" s="87" t="s">
        <v>528</v>
      </c>
      <c r="K3" s="87"/>
    </row>
    <row r="4" spans="1:11" ht="12.75" customHeight="1">
      <c r="A4" s="87">
        <v>3</v>
      </c>
      <c r="B4" s="87" t="s">
        <v>847</v>
      </c>
      <c r="C4" s="87" t="s">
        <v>529</v>
      </c>
      <c r="D4" s="121">
        <v>46132</v>
      </c>
      <c r="E4" s="122" t="s">
        <v>984</v>
      </c>
      <c r="F4" s="127" t="s">
        <v>1198</v>
      </c>
      <c r="G4" s="126" t="s">
        <v>652</v>
      </c>
      <c r="H4" s="236" t="s">
        <v>1203</v>
      </c>
      <c r="I4" s="121">
        <v>46132</v>
      </c>
      <c r="J4" s="87" t="s">
        <v>528</v>
      </c>
      <c r="K4" s="87"/>
    </row>
    <row r="5" spans="1:11" ht="12.75" customHeight="1">
      <c r="A5" s="87">
        <v>4</v>
      </c>
      <c r="B5" s="87" t="s">
        <v>847</v>
      </c>
      <c r="C5" s="87" t="s">
        <v>986</v>
      </c>
      <c r="D5" s="121">
        <v>46132</v>
      </c>
      <c r="E5" s="122" t="s">
        <v>985</v>
      </c>
      <c r="F5" s="127"/>
      <c r="G5" s="126" t="s">
        <v>987</v>
      </c>
      <c r="H5" s="235" t="s">
        <v>1204</v>
      </c>
      <c r="I5" s="121">
        <v>46132</v>
      </c>
      <c r="J5" s="87" t="s">
        <v>528</v>
      </c>
      <c r="K5" s="87"/>
    </row>
    <row r="6" spans="1:11" ht="12.75" customHeight="1">
      <c r="A6" s="87">
        <v>5</v>
      </c>
      <c r="B6" s="87" t="s">
        <v>847</v>
      </c>
      <c r="C6" s="87" t="s">
        <v>1186</v>
      </c>
      <c r="D6" s="121">
        <v>46132</v>
      </c>
      <c r="E6" s="122" t="s">
        <v>1187</v>
      </c>
      <c r="F6" s="122" t="s">
        <v>1188</v>
      </c>
      <c r="G6" s="128" t="s">
        <v>783</v>
      </c>
      <c r="H6" s="237" t="s">
        <v>1206</v>
      </c>
      <c r="I6" s="121">
        <v>46132</v>
      </c>
      <c r="J6" s="87" t="s">
        <v>528</v>
      </c>
      <c r="K6" s="87"/>
    </row>
    <row r="7" spans="1:11" ht="12.75" customHeight="1">
      <c r="A7" s="87">
        <v>6</v>
      </c>
      <c r="B7" s="87" t="s">
        <v>847</v>
      </c>
      <c r="C7" s="87" t="s">
        <v>606</v>
      </c>
      <c r="D7" s="121">
        <v>46132</v>
      </c>
      <c r="E7" s="122" t="s">
        <v>989</v>
      </c>
      <c r="F7" s="122"/>
      <c r="G7" s="128" t="s">
        <v>988</v>
      </c>
      <c r="H7" s="239" t="s">
        <v>1207</v>
      </c>
      <c r="I7" s="121">
        <v>46132</v>
      </c>
      <c r="J7" s="87" t="s">
        <v>528</v>
      </c>
      <c r="K7" s="87"/>
    </row>
    <row r="8" spans="1:11" ht="12.75" customHeight="1">
      <c r="A8" s="87">
        <v>7</v>
      </c>
      <c r="B8" s="87" t="s">
        <v>847</v>
      </c>
      <c r="C8" s="87" t="s">
        <v>956</v>
      </c>
      <c r="D8" s="121">
        <v>46132</v>
      </c>
      <c r="E8" s="122" t="s">
        <v>1189</v>
      </c>
      <c r="F8" s="122"/>
      <c r="G8" s="128" t="s">
        <v>551</v>
      </c>
      <c r="H8" s="241" t="s">
        <v>1205</v>
      </c>
      <c r="I8" s="121">
        <v>46133</v>
      </c>
      <c r="J8" s="87" t="s">
        <v>528</v>
      </c>
      <c r="K8" s="87"/>
    </row>
    <row r="9" spans="1:11" ht="12.75" customHeight="1">
      <c r="A9" s="87">
        <v>8</v>
      </c>
      <c r="B9" s="87" t="s">
        <v>847</v>
      </c>
      <c r="C9" s="87" t="s">
        <v>548</v>
      </c>
      <c r="D9" s="121">
        <v>46132</v>
      </c>
      <c r="E9" s="122" t="s">
        <v>1190</v>
      </c>
      <c r="F9" s="122" t="s">
        <v>1191</v>
      </c>
      <c r="G9" s="128" t="s">
        <v>1192</v>
      </c>
      <c r="H9" s="241" t="s">
        <v>1211</v>
      </c>
      <c r="I9" s="121">
        <v>46133</v>
      </c>
      <c r="J9" s="87" t="s">
        <v>528</v>
      </c>
      <c r="K9" s="87"/>
    </row>
    <row r="10" spans="1:11" ht="12.75" customHeight="1">
      <c r="A10" s="87">
        <v>9</v>
      </c>
      <c r="B10" s="87" t="s">
        <v>847</v>
      </c>
      <c r="C10" s="87" t="s">
        <v>606</v>
      </c>
      <c r="D10" s="121">
        <v>46132</v>
      </c>
      <c r="E10" s="122" t="s">
        <v>1167</v>
      </c>
      <c r="F10" s="122" t="s">
        <v>1183</v>
      </c>
      <c r="G10" s="128" t="s">
        <v>988</v>
      </c>
      <c r="H10" s="241" t="s">
        <v>1207</v>
      </c>
      <c r="I10" s="121">
        <v>46132</v>
      </c>
      <c r="J10" s="87" t="s">
        <v>528</v>
      </c>
      <c r="K10" s="87"/>
    </row>
    <row r="11" spans="1:11" ht="12.75" customHeight="1">
      <c r="A11" s="87">
        <v>10</v>
      </c>
      <c r="B11" s="87" t="s">
        <v>847</v>
      </c>
      <c r="C11" s="87" t="s">
        <v>1168</v>
      </c>
      <c r="D11" s="121">
        <v>46132</v>
      </c>
      <c r="E11" s="122" t="s">
        <v>1169</v>
      </c>
      <c r="F11" s="122"/>
      <c r="G11" s="128" t="s">
        <v>551</v>
      </c>
      <c r="H11" s="241" t="s">
        <v>1205</v>
      </c>
      <c r="I11" s="121">
        <v>46136</v>
      </c>
      <c r="J11" s="87" t="s">
        <v>528</v>
      </c>
      <c r="K11" s="87"/>
    </row>
    <row r="12" spans="1:11" ht="14.4">
      <c r="A12" s="87">
        <v>11</v>
      </c>
      <c r="B12" s="87" t="s">
        <v>847</v>
      </c>
      <c r="C12" s="88" t="s">
        <v>956</v>
      </c>
      <c r="D12" s="121">
        <v>46132</v>
      </c>
      <c r="E12" s="125" t="s">
        <v>1170</v>
      </c>
      <c r="F12" s="128"/>
      <c r="G12" s="125" t="s">
        <v>1171</v>
      </c>
      <c r="H12" s="240" t="s">
        <v>1209</v>
      </c>
      <c r="I12" s="121" t="s">
        <v>1172</v>
      </c>
      <c r="J12" s="87" t="s">
        <v>528</v>
      </c>
      <c r="K12" s="125"/>
    </row>
    <row r="13" spans="1:11" ht="14.4">
      <c r="A13" s="87">
        <v>12</v>
      </c>
      <c r="B13" s="87" t="s">
        <v>847</v>
      </c>
      <c r="C13" s="88" t="s">
        <v>1175</v>
      </c>
      <c r="D13" s="121">
        <v>46132</v>
      </c>
      <c r="E13" s="125" t="s">
        <v>1174</v>
      </c>
      <c r="F13" s="128"/>
      <c r="G13" s="88" t="s">
        <v>1177</v>
      </c>
      <c r="H13" s="241" t="s">
        <v>1210</v>
      </c>
      <c r="I13" s="121"/>
      <c r="J13" s="87" t="s">
        <v>528</v>
      </c>
      <c r="K13" s="125"/>
    </row>
    <row r="14" spans="1:11" ht="14.4">
      <c r="A14" s="87">
        <v>13</v>
      </c>
      <c r="B14" s="87" t="s">
        <v>847</v>
      </c>
      <c r="C14" s="88" t="s">
        <v>548</v>
      </c>
      <c r="D14" s="121">
        <v>46132</v>
      </c>
      <c r="E14" s="125" t="s">
        <v>1176</v>
      </c>
      <c r="F14" s="125"/>
      <c r="G14" s="125" t="s">
        <v>551</v>
      </c>
      <c r="H14" s="241" t="s">
        <v>1205</v>
      </c>
      <c r="I14" s="121">
        <v>46133</v>
      </c>
      <c r="J14" s="87" t="s">
        <v>528</v>
      </c>
      <c r="K14" s="125"/>
    </row>
    <row r="15" spans="1:11" s="120" customFormat="1" ht="41.4">
      <c r="A15" s="87">
        <v>14</v>
      </c>
      <c r="B15" s="87" t="s">
        <v>847</v>
      </c>
      <c r="C15" s="88" t="s">
        <v>548</v>
      </c>
      <c r="D15" s="121">
        <v>46132</v>
      </c>
      <c r="E15" s="122" t="s">
        <v>1178</v>
      </c>
      <c r="F15" s="183" t="s">
        <v>1179</v>
      </c>
      <c r="G15" s="125" t="s">
        <v>551</v>
      </c>
      <c r="H15" s="241" t="s">
        <v>1205</v>
      </c>
      <c r="I15" s="121">
        <v>46138</v>
      </c>
      <c r="J15" s="87" t="s">
        <v>528</v>
      </c>
      <c r="K15" s="126"/>
    </row>
    <row r="16" spans="1:11" ht="31.5" customHeight="1">
      <c r="A16" s="88">
        <v>15</v>
      </c>
      <c r="B16" s="87" t="s">
        <v>847</v>
      </c>
      <c r="C16" s="88" t="s">
        <v>532</v>
      </c>
      <c r="D16" s="121">
        <v>46132</v>
      </c>
      <c r="E16" s="130" t="s">
        <v>1182</v>
      </c>
      <c r="F16" s="125" t="s">
        <v>1180</v>
      </c>
      <c r="G16" s="125" t="s">
        <v>1181</v>
      </c>
      <c r="H16" s="240" t="s">
        <v>1208</v>
      </c>
      <c r="I16" s="121">
        <v>46133</v>
      </c>
      <c r="J16" s="87" t="s">
        <v>528</v>
      </c>
      <c r="K16" s="130"/>
    </row>
    <row r="17" spans="1:11" s="120" customFormat="1" ht="14.4">
      <c r="A17" s="87">
        <v>16</v>
      </c>
      <c r="B17" s="87" t="s">
        <v>847</v>
      </c>
      <c r="C17" s="87" t="s">
        <v>1173</v>
      </c>
      <c r="D17" s="121">
        <v>46132</v>
      </c>
      <c r="E17" s="126" t="s">
        <v>1184</v>
      </c>
      <c r="F17" s="122" t="s">
        <v>1185</v>
      </c>
      <c r="G17" s="126" t="s">
        <v>1177</v>
      </c>
      <c r="H17" s="242" t="s">
        <v>1210</v>
      </c>
      <c r="I17" s="121">
        <v>46132</v>
      </c>
      <c r="J17" s="87" t="s">
        <v>528</v>
      </c>
      <c r="K17" s="126"/>
    </row>
    <row r="18" spans="1:11">
      <c r="A18" s="88">
        <v>17</v>
      </c>
      <c r="B18" s="87" t="s">
        <v>847</v>
      </c>
      <c r="C18" s="87" t="s">
        <v>548</v>
      </c>
      <c r="D18" s="121">
        <v>46132</v>
      </c>
      <c r="E18" s="126" t="s">
        <v>1193</v>
      </c>
      <c r="F18" s="125" t="s">
        <v>1191</v>
      </c>
      <c r="G18" s="128" t="s">
        <v>1192</v>
      </c>
      <c r="H18" s="237" t="s">
        <v>1212</v>
      </c>
      <c r="I18" s="121">
        <v>46133</v>
      </c>
      <c r="J18" s="87" t="s">
        <v>528</v>
      </c>
      <c r="K18" s="125"/>
    </row>
    <row r="19" spans="1:11" ht="14.4">
      <c r="A19" s="88">
        <v>18</v>
      </c>
      <c r="B19" s="87" t="s">
        <v>847</v>
      </c>
      <c r="C19" s="88" t="s">
        <v>1173</v>
      </c>
      <c r="D19" s="121">
        <v>46132</v>
      </c>
      <c r="E19" s="125" t="s">
        <v>1194</v>
      </c>
      <c r="F19" s="125" t="s">
        <v>1195</v>
      </c>
      <c r="G19" s="128" t="s">
        <v>1177</v>
      </c>
      <c r="H19" s="241" t="s">
        <v>1210</v>
      </c>
      <c r="I19" s="121">
        <v>46137</v>
      </c>
      <c r="J19" s="87" t="s">
        <v>528</v>
      </c>
      <c r="K19" s="125"/>
    </row>
    <row r="20" spans="1:11" ht="14.4">
      <c r="A20" s="88">
        <v>19</v>
      </c>
      <c r="B20" s="87" t="s">
        <v>847</v>
      </c>
      <c r="C20" s="88" t="s">
        <v>630</v>
      </c>
      <c r="D20" s="121">
        <v>46132</v>
      </c>
      <c r="E20" s="125" t="s">
        <v>1196</v>
      </c>
      <c r="F20" s="125" t="s">
        <v>1197</v>
      </c>
      <c r="G20" s="125" t="s">
        <v>522</v>
      </c>
      <c r="H20" s="241" t="s">
        <v>1202</v>
      </c>
      <c r="I20" s="121">
        <v>46133</v>
      </c>
      <c r="J20" s="87" t="s">
        <v>528</v>
      </c>
      <c r="K20" s="125"/>
    </row>
    <row r="21" spans="1:11" ht="14.4">
      <c r="A21" s="88">
        <v>20</v>
      </c>
      <c r="B21" s="87" t="s">
        <v>847</v>
      </c>
      <c r="C21" s="88" t="s">
        <v>529</v>
      </c>
      <c r="D21" s="121">
        <v>46132</v>
      </c>
      <c r="E21" s="125" t="s">
        <v>1199</v>
      </c>
      <c r="F21" s="125" t="s">
        <v>1200</v>
      </c>
      <c r="G21" s="125" t="s">
        <v>522</v>
      </c>
      <c r="H21" s="241" t="s">
        <v>1202</v>
      </c>
      <c r="I21" s="121">
        <v>46134</v>
      </c>
      <c r="J21" s="87" t="s">
        <v>528</v>
      </c>
      <c r="K21" s="125"/>
    </row>
    <row r="22" spans="1:11">
      <c r="A22" s="88">
        <v>21</v>
      </c>
      <c r="B22" s="87"/>
      <c r="C22" s="88"/>
      <c r="D22" s="129"/>
      <c r="E22" s="125"/>
      <c r="F22" s="125"/>
      <c r="G22" s="125"/>
      <c r="H22" s="125"/>
      <c r="I22" s="121"/>
      <c r="J22" s="88"/>
      <c r="K22" s="125"/>
    </row>
    <row r="23" spans="1:11">
      <c r="A23" s="88">
        <v>22</v>
      </c>
      <c r="B23" s="87"/>
      <c r="C23" s="88"/>
      <c r="D23" s="129"/>
      <c r="E23" s="125"/>
      <c r="F23" s="125"/>
      <c r="G23" s="125"/>
      <c r="H23" s="125"/>
      <c r="I23" s="121"/>
      <c r="J23" s="88"/>
      <c r="K23" s="125"/>
    </row>
    <row r="24" spans="1:11">
      <c r="A24" s="88">
        <v>23</v>
      </c>
      <c r="B24" s="87"/>
      <c r="C24" s="88"/>
      <c r="D24" s="129"/>
      <c r="E24" s="125"/>
      <c r="F24" s="125"/>
      <c r="G24" s="125"/>
      <c r="H24" s="125"/>
      <c r="I24" s="121"/>
      <c r="J24" s="88"/>
      <c r="K24" s="125"/>
    </row>
    <row r="25" spans="1:11">
      <c r="A25" s="88">
        <v>24</v>
      </c>
      <c r="B25" s="87"/>
      <c r="C25" s="88"/>
      <c r="D25" s="129"/>
      <c r="E25" s="125"/>
      <c r="F25" s="125"/>
      <c r="G25" s="125"/>
      <c r="H25" s="125"/>
      <c r="I25" s="121"/>
      <c r="J25" s="88"/>
      <c r="K25" s="125"/>
    </row>
    <row r="26" spans="1:11">
      <c r="A26" s="88">
        <v>25</v>
      </c>
      <c r="B26" s="87"/>
      <c r="C26" s="88"/>
      <c r="D26" s="129"/>
      <c r="E26" s="125"/>
      <c r="F26" s="125"/>
      <c r="G26" s="125"/>
      <c r="H26" s="125"/>
      <c r="I26" s="121"/>
      <c r="J26" s="88"/>
      <c r="K26" s="125"/>
    </row>
    <row r="27" spans="1:11">
      <c r="A27" s="88">
        <v>26</v>
      </c>
      <c r="B27" s="87"/>
      <c r="C27" s="88"/>
      <c r="D27" s="129"/>
      <c r="E27" s="125"/>
      <c r="F27" s="125"/>
      <c r="G27" s="125"/>
      <c r="H27" s="125"/>
      <c r="I27" s="121"/>
      <c r="J27" s="88"/>
      <c r="K27" s="125"/>
    </row>
    <row r="28" spans="1:11">
      <c r="A28" s="88">
        <v>27</v>
      </c>
      <c r="B28" s="87"/>
      <c r="C28" s="88"/>
      <c r="D28" s="129"/>
      <c r="E28" s="125"/>
      <c r="F28" s="125"/>
      <c r="G28" s="125"/>
      <c r="H28" s="125"/>
      <c r="I28" s="121"/>
      <c r="J28" s="88"/>
      <c r="K28" s="125"/>
    </row>
    <row r="29" spans="1:11">
      <c r="A29" s="88">
        <v>28</v>
      </c>
      <c r="B29" s="87"/>
      <c r="C29" s="88"/>
      <c r="D29" s="129"/>
      <c r="E29" s="125"/>
      <c r="F29" s="125"/>
      <c r="G29" s="125"/>
      <c r="H29" s="125"/>
      <c r="I29" s="121"/>
      <c r="J29" s="88"/>
      <c r="K29" s="125"/>
    </row>
    <row r="30" spans="1:11">
      <c r="A30" s="88">
        <v>29</v>
      </c>
      <c r="B30" s="87"/>
      <c r="C30" s="88"/>
      <c r="D30" s="129"/>
      <c r="E30" s="125"/>
      <c r="F30" s="125"/>
      <c r="G30" s="125"/>
      <c r="H30" s="125"/>
      <c r="I30" s="121"/>
      <c r="J30" s="88"/>
      <c r="K30" s="125"/>
    </row>
    <row r="31" spans="1:11">
      <c r="A31" s="88">
        <v>30</v>
      </c>
      <c r="B31" s="87"/>
      <c r="C31" s="88"/>
      <c r="D31" s="129"/>
      <c r="E31" s="125"/>
      <c r="F31" s="125"/>
      <c r="G31" s="125"/>
      <c r="H31" s="125"/>
      <c r="I31" s="121"/>
      <c r="J31" s="88"/>
      <c r="K31" s="125"/>
    </row>
    <row r="32" spans="1:11">
      <c r="A32" s="88">
        <v>31</v>
      </c>
      <c r="B32" s="87"/>
      <c r="C32" s="88"/>
      <c r="D32" s="129"/>
      <c r="E32" s="125"/>
      <c r="F32" s="125"/>
      <c r="G32" s="125"/>
      <c r="H32" s="125"/>
      <c r="I32" s="121"/>
      <c r="J32" s="88"/>
      <c r="K32" s="125"/>
    </row>
    <row r="33" spans="1:11">
      <c r="A33" s="88">
        <v>32</v>
      </c>
      <c r="B33" s="87"/>
      <c r="C33" s="88"/>
      <c r="D33" s="129"/>
      <c r="E33" s="125"/>
      <c r="F33" s="125"/>
      <c r="G33" s="125"/>
      <c r="H33" s="125"/>
      <c r="I33" s="121"/>
      <c r="J33" s="88"/>
      <c r="K33" s="125"/>
    </row>
    <row r="34" spans="1:11">
      <c r="A34" s="88">
        <v>33</v>
      </c>
      <c r="B34" s="87"/>
      <c r="C34" s="88"/>
      <c r="D34" s="129"/>
      <c r="E34" s="130"/>
      <c r="F34" s="131"/>
      <c r="G34" s="125"/>
      <c r="H34" s="125"/>
      <c r="I34" s="121"/>
      <c r="J34" s="88"/>
      <c r="K34" s="125"/>
    </row>
    <row r="35" spans="1:11">
      <c r="A35" s="88">
        <v>34</v>
      </c>
      <c r="B35" s="87"/>
      <c r="C35" s="88"/>
      <c r="D35" s="129"/>
      <c r="E35" s="125"/>
      <c r="F35" s="125"/>
      <c r="G35" s="125"/>
      <c r="H35" s="125"/>
      <c r="I35" s="121"/>
      <c r="J35" s="88"/>
      <c r="K35" s="125"/>
    </row>
    <row r="36" spans="1:11" s="120" customFormat="1">
      <c r="A36" s="87">
        <v>35</v>
      </c>
      <c r="B36" s="87"/>
      <c r="C36" s="87"/>
      <c r="D36" s="121"/>
      <c r="E36" s="122"/>
      <c r="F36" s="127"/>
      <c r="G36" s="126"/>
      <c r="H36" s="126"/>
      <c r="I36" s="121"/>
      <c r="J36" s="87"/>
      <c r="K36" s="126"/>
    </row>
    <row r="37" spans="1:11">
      <c r="A37" s="88">
        <v>36</v>
      </c>
      <c r="B37" s="87"/>
      <c r="C37" s="88"/>
      <c r="D37" s="129"/>
      <c r="E37" s="125"/>
      <c r="F37" s="125"/>
      <c r="G37" s="125"/>
      <c r="H37" s="125"/>
      <c r="I37" s="121"/>
      <c r="J37" s="88"/>
      <c r="K37" s="125"/>
    </row>
    <row r="38" spans="1:11">
      <c r="A38" s="87">
        <v>37</v>
      </c>
      <c r="B38" s="87"/>
      <c r="C38" s="88"/>
      <c r="D38" s="129"/>
      <c r="E38" s="125"/>
      <c r="F38" s="125"/>
      <c r="G38" s="126"/>
      <c r="H38" s="126"/>
      <c r="I38" s="121"/>
      <c r="J38" s="88"/>
      <c r="K38" s="125"/>
    </row>
    <row r="39" spans="1:11">
      <c r="A39" s="88">
        <v>38</v>
      </c>
      <c r="B39" s="87"/>
      <c r="C39" s="88"/>
      <c r="D39" s="129"/>
      <c r="E39" s="125"/>
      <c r="F39" s="125"/>
      <c r="G39" s="126"/>
      <c r="H39" s="126"/>
      <c r="I39" s="121"/>
      <c r="J39" s="88"/>
      <c r="K39" s="125"/>
    </row>
    <row r="40" spans="1:11">
      <c r="A40" s="88">
        <v>39</v>
      </c>
      <c r="B40" s="87"/>
      <c r="C40" s="88"/>
      <c r="D40" s="129"/>
      <c r="E40" s="125"/>
      <c r="F40" s="125"/>
      <c r="G40" s="125"/>
      <c r="H40" s="125"/>
      <c r="I40" s="121"/>
      <c r="J40" s="88"/>
      <c r="K40" s="125"/>
    </row>
    <row r="41" spans="1:11">
      <c r="A41" s="88">
        <v>40</v>
      </c>
      <c r="B41" s="87"/>
      <c r="C41" s="88"/>
      <c r="D41" s="129"/>
      <c r="E41" s="125"/>
      <c r="F41" s="125"/>
      <c r="G41" s="125"/>
      <c r="H41" s="125"/>
      <c r="I41" s="87"/>
      <c r="J41" s="88"/>
      <c r="K41" s="125"/>
    </row>
    <row r="42" spans="1:11">
      <c r="A42" s="88">
        <v>41</v>
      </c>
      <c r="B42" s="87"/>
      <c r="C42" s="88"/>
      <c r="D42" s="129"/>
      <c r="E42" s="125"/>
      <c r="F42" s="125"/>
      <c r="G42" s="125"/>
      <c r="H42" s="125"/>
      <c r="I42" s="132"/>
      <c r="J42" s="88"/>
      <c r="K42" s="125"/>
    </row>
    <row r="43" spans="1:11">
      <c r="A43" s="88">
        <v>42</v>
      </c>
      <c r="B43" s="87"/>
      <c r="C43" s="88"/>
      <c r="D43" s="129"/>
      <c r="E43" s="125"/>
      <c r="F43" s="125"/>
      <c r="G43" s="126"/>
      <c r="H43" s="126"/>
      <c r="I43" s="121"/>
      <c r="J43" s="88"/>
      <c r="K43" s="125"/>
    </row>
    <row r="44" spans="1:11">
      <c r="A44" s="88">
        <v>43</v>
      </c>
      <c r="B44" s="87"/>
      <c r="C44" s="88"/>
      <c r="D44" s="129"/>
      <c r="E44" s="125"/>
      <c r="F44" s="125"/>
      <c r="G44" s="125"/>
      <c r="H44" s="125"/>
      <c r="I44" s="121"/>
      <c r="J44" s="88"/>
      <c r="K44" s="125"/>
    </row>
    <row r="45" spans="1:11">
      <c r="A45" s="88">
        <v>44</v>
      </c>
      <c r="B45" s="87"/>
      <c r="C45" s="88"/>
      <c r="D45" s="129"/>
      <c r="E45" s="125"/>
      <c r="F45" s="125"/>
      <c r="G45" s="125"/>
      <c r="H45" s="125"/>
      <c r="I45" s="121"/>
      <c r="J45" s="88"/>
      <c r="K45" s="125"/>
    </row>
    <row r="46" spans="1:11">
      <c r="A46" s="88">
        <v>45</v>
      </c>
      <c r="B46" s="87"/>
      <c r="C46" s="88"/>
      <c r="D46" s="129"/>
      <c r="E46" s="125"/>
      <c r="F46" s="125"/>
      <c r="G46" s="125"/>
      <c r="H46" s="125"/>
      <c r="I46" s="87"/>
      <c r="J46" s="88"/>
      <c r="K46" s="125"/>
    </row>
    <row r="47" spans="1:11">
      <c r="A47" s="88">
        <v>46</v>
      </c>
      <c r="B47" s="87"/>
      <c r="C47" s="88"/>
      <c r="D47" s="129"/>
      <c r="E47" s="125"/>
      <c r="F47" s="125"/>
      <c r="G47" s="125"/>
      <c r="H47" s="125"/>
      <c r="I47" s="87"/>
      <c r="J47" s="88"/>
      <c r="K47" s="125"/>
    </row>
    <row r="48" spans="1:11">
      <c r="A48" s="88">
        <v>47</v>
      </c>
      <c r="B48" s="87"/>
      <c r="C48" s="88"/>
      <c r="D48" s="129"/>
      <c r="E48" s="125"/>
      <c r="F48" s="125"/>
      <c r="G48" s="125"/>
      <c r="H48" s="125"/>
      <c r="I48" s="121"/>
      <c r="J48" s="88"/>
      <c r="K48" s="125"/>
    </row>
    <row r="49" spans="1:11">
      <c r="A49" s="88">
        <v>48</v>
      </c>
      <c r="B49" s="87"/>
      <c r="C49" s="88"/>
      <c r="D49" s="129"/>
      <c r="E49" s="125"/>
      <c r="F49" s="125"/>
      <c r="G49" s="125"/>
      <c r="H49" s="125"/>
      <c r="I49" s="87"/>
      <c r="J49" s="88"/>
      <c r="K49" s="125"/>
    </row>
    <row r="50" spans="1:11">
      <c r="A50" s="88">
        <v>49</v>
      </c>
      <c r="B50" s="87"/>
      <c r="C50" s="88"/>
      <c r="D50" s="129"/>
      <c r="E50" s="125"/>
      <c r="F50" s="125"/>
      <c r="G50" s="125"/>
      <c r="H50" s="125"/>
      <c r="I50" s="87"/>
      <c r="J50" s="88"/>
      <c r="K50" s="125"/>
    </row>
    <row r="51" spans="1:11">
      <c r="A51" s="88">
        <v>50</v>
      </c>
      <c r="B51" s="87"/>
      <c r="C51" s="88"/>
      <c r="D51" s="129"/>
      <c r="E51" s="125"/>
      <c r="F51" s="125"/>
      <c r="G51" s="125"/>
      <c r="H51" s="125"/>
      <c r="I51" s="87"/>
      <c r="J51" s="88"/>
      <c r="K51" s="125"/>
    </row>
    <row r="52" spans="1:11">
      <c r="A52" s="88">
        <v>51</v>
      </c>
      <c r="B52" s="87"/>
      <c r="C52" s="88"/>
      <c r="D52" s="129"/>
      <c r="E52" s="130"/>
      <c r="F52" s="125"/>
      <c r="G52" s="125"/>
      <c r="H52" s="125"/>
      <c r="I52" s="87"/>
      <c r="J52" s="88"/>
      <c r="K52" s="125"/>
    </row>
    <row r="53" spans="1:11">
      <c r="A53" s="88">
        <v>52</v>
      </c>
      <c r="B53" s="87"/>
      <c r="C53" s="88"/>
      <c r="D53" s="129"/>
      <c r="E53" s="125"/>
      <c r="F53" s="125"/>
      <c r="G53" s="125"/>
      <c r="H53" s="125"/>
      <c r="I53" s="87"/>
      <c r="J53" s="88"/>
      <c r="K53" s="125"/>
    </row>
    <row r="54" spans="1:11">
      <c r="A54" s="88">
        <v>53</v>
      </c>
      <c r="B54" s="87"/>
      <c r="C54" s="88"/>
      <c r="D54" s="129"/>
      <c r="E54" s="125"/>
      <c r="F54" s="125"/>
      <c r="G54" s="125"/>
      <c r="H54" s="125"/>
      <c r="I54" s="87"/>
      <c r="J54" s="88"/>
      <c r="K54" s="125"/>
    </row>
    <row r="55" spans="1:11">
      <c r="A55" s="88">
        <v>54</v>
      </c>
      <c r="B55" s="87"/>
      <c r="C55" s="88"/>
      <c r="D55" s="129"/>
      <c r="E55" s="125"/>
      <c r="F55" s="125"/>
      <c r="G55" s="125"/>
      <c r="H55" s="125"/>
      <c r="I55" s="87"/>
      <c r="J55" s="88"/>
      <c r="K55" s="125"/>
    </row>
    <row r="56" spans="1:11">
      <c r="A56" s="88"/>
      <c r="B56" s="87"/>
      <c r="C56" s="88"/>
      <c r="D56" s="88"/>
      <c r="E56" s="125"/>
      <c r="F56" s="125"/>
      <c r="G56" s="125"/>
      <c r="H56" s="125"/>
      <c r="I56" s="87"/>
      <c r="J56" s="88"/>
      <c r="K56" s="125"/>
    </row>
    <row r="57" spans="1:11">
      <c r="A57" s="88"/>
      <c r="B57" s="87"/>
      <c r="C57" s="88"/>
      <c r="D57" s="88"/>
      <c r="E57" s="125"/>
      <c r="F57" s="125"/>
      <c r="G57" s="125"/>
      <c r="H57" s="125"/>
      <c r="I57" s="87"/>
      <c r="J57" s="88"/>
      <c r="K57" s="125"/>
    </row>
    <row r="58" spans="1:11">
      <c r="A58" s="88"/>
      <c r="B58" s="87"/>
      <c r="C58" s="88"/>
      <c r="D58" s="88"/>
      <c r="E58" s="125"/>
      <c r="F58" s="125"/>
      <c r="G58" s="125"/>
      <c r="H58" s="125"/>
      <c r="I58" s="87"/>
      <c r="J58" s="88"/>
      <c r="K58" s="125"/>
    </row>
    <row r="59" spans="1:11">
      <c r="A59" s="88"/>
      <c r="B59" s="125"/>
      <c r="C59" s="88"/>
      <c r="D59" s="88"/>
      <c r="E59" s="125"/>
      <c r="F59" s="125"/>
      <c r="G59" s="125"/>
      <c r="H59" s="125"/>
      <c r="I59" s="87"/>
      <c r="J59" s="88"/>
      <c r="K59" s="125"/>
    </row>
    <row r="60" spans="1:11">
      <c r="A60" s="88"/>
      <c r="B60" s="125"/>
      <c r="C60" s="88"/>
      <c r="D60" s="88"/>
      <c r="E60" s="125"/>
      <c r="F60" s="125"/>
      <c r="G60" s="125"/>
      <c r="H60" s="125"/>
      <c r="I60" s="87"/>
      <c r="J60" s="88"/>
      <c r="K60" s="125"/>
    </row>
    <row r="61" spans="1:11">
      <c r="A61" s="88"/>
      <c r="B61" s="125"/>
      <c r="C61" s="88"/>
      <c r="D61" s="88"/>
      <c r="E61" s="125"/>
      <c r="F61" s="125"/>
      <c r="G61" s="125"/>
      <c r="H61" s="125"/>
      <c r="I61" s="87"/>
      <c r="J61" s="88"/>
      <c r="K61" s="125"/>
    </row>
    <row r="62" spans="1:11">
      <c r="A62" s="88"/>
      <c r="B62" s="125"/>
      <c r="C62" s="88"/>
      <c r="D62" s="88"/>
      <c r="E62" s="125"/>
      <c r="F62" s="125"/>
      <c r="G62" s="125"/>
      <c r="H62" s="125"/>
      <c r="I62" s="87"/>
      <c r="J62" s="88"/>
      <c r="K62" s="125"/>
    </row>
    <row r="63" spans="1:11">
      <c r="A63" s="88"/>
      <c r="B63" s="125"/>
      <c r="C63" s="88"/>
      <c r="D63" s="88"/>
      <c r="E63" s="125"/>
      <c r="F63" s="125"/>
      <c r="G63" s="125"/>
      <c r="H63" s="125"/>
      <c r="I63" s="87"/>
      <c r="J63" s="88"/>
      <c r="K63" s="125"/>
    </row>
    <row r="64" spans="1:11">
      <c r="A64" s="88"/>
      <c r="B64" s="125"/>
      <c r="C64" s="88"/>
      <c r="D64" s="88"/>
      <c r="E64" s="125"/>
      <c r="F64" s="125"/>
      <c r="G64" s="125"/>
      <c r="H64" s="125"/>
      <c r="I64" s="87"/>
      <c r="J64" s="88"/>
      <c r="K64" s="125"/>
    </row>
  </sheetData>
  <conditionalFormatting sqref="B2:B58">
    <cfRule type="cellIs" dxfId="2" priority="1" operator="equal">
      <formula>"MEDIUM"</formula>
    </cfRule>
    <cfRule type="cellIs" dxfId="1" priority="2" operator="equal">
      <formula>"LOW"</formula>
    </cfRule>
    <cfRule type="cellIs" dxfId="0" priority="3" operator="equal">
      <formula>"HIGH"</formula>
    </cfRule>
  </conditionalFormatting>
  <hyperlinks>
    <hyperlink ref="H2" r:id="rId1" xr:uid="{6C22AB65-7CEC-41C9-8B15-DC64F83E5F70}"/>
    <hyperlink ref="H3" r:id="rId2" xr:uid="{4E800844-EF76-4322-9A71-43F3FD1CA74C}"/>
    <hyperlink ref="H4" r:id="rId3" xr:uid="{62254F18-0A16-4BE0-9329-AD55A4B63889}"/>
    <hyperlink ref="H5" r:id="rId4" display="maintenance@precifast.in" xr:uid="{8B9010E5-BD7B-4B17-BCB9-D3516A83505A}"/>
    <hyperlink ref="H7" r:id="rId5" xr:uid="{A84BCAEC-FF53-4BA0-846F-4CAC0CE3A4F6}"/>
    <hyperlink ref="H16" r:id="rId6" xr:uid="{D08867E3-4A5C-4FD7-89BB-26DBD65FFF59}"/>
    <hyperlink ref="H12" r:id="rId7" xr:uid="{C9C4C532-0FDA-4BF9-8E56-A6E3B191AEF5}"/>
    <hyperlink ref="H13" r:id="rId8" display="^balakrishna.b@gmail.com" xr:uid="{F501BA28-FAC2-42EF-90F1-B41A5F963742}"/>
    <hyperlink ref="H17" r:id="rId9" display="^balakrishna.b@gmail.com" xr:uid="{9A8D7C26-9309-43DB-A87C-EBE6D3CE08DE}"/>
    <hyperlink ref="H19" r:id="rId10" display="^balakrishna.b@gmail.com" xr:uid="{95E24995-DA62-40E0-9B70-75CF8BB128E9}"/>
    <hyperlink ref="H15" r:id="rId11" display="^e.rajesh@precifast.in" xr:uid="{C67E4720-CDA2-48B5-8C82-DAE98891B9C9}"/>
    <hyperlink ref="H8" r:id="rId12" display="^e.rajesh@precifast.in" xr:uid="{9F22B7D4-C260-40C1-B54A-8B0A9B349AB1}"/>
    <hyperlink ref="H9" r:id="rId13" display="^e.rajesh@precifast.in" xr:uid="{F89E44E4-17C0-4F71-B9A2-187B57381353}"/>
    <hyperlink ref="H10" r:id="rId14" display="^sqa@precifast.in" xr:uid="{54118E31-F1A6-4AB1-B8D0-64350A647917}"/>
    <hyperlink ref="H11" r:id="rId15" display="^e.rajesh@precifast.in" xr:uid="{D69FAF25-0924-49AA-94A8-168CD8803E68}"/>
    <hyperlink ref="H14" r:id="rId16" display="^e.rajesh@precifast.in" xr:uid="{C156252D-F4C5-46E9-BF2E-F28D76021A2E}"/>
    <hyperlink ref="H20" r:id="rId17" display="^dilli.d@precifast.in" xr:uid="{C29A4064-AC85-42E1-806F-35C094B9F122}"/>
    <hyperlink ref="H21" r:id="rId18" display="^dilli.d@precifast.in" xr:uid="{7990D023-E12F-45DF-8E62-DD34AE71046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E6DC-DF67-45CC-866B-DC08563A5F08}">
  <sheetPr filterMode="1"/>
  <dimension ref="B2:V73"/>
  <sheetViews>
    <sheetView topLeftCell="G1" zoomScale="145" zoomScaleNormal="145" workbookViewId="0">
      <selection activeCell="V76" sqref="V76"/>
    </sheetView>
  </sheetViews>
  <sheetFormatPr defaultRowHeight="14.4"/>
  <cols>
    <col min="2" max="2" width="4.88671875" bestFit="1" customWidth="1"/>
    <col min="3" max="3" width="5.6640625" bestFit="1" customWidth="1"/>
    <col min="4" max="4" width="9.109375" bestFit="1" customWidth="1"/>
    <col min="5" max="5" width="13.109375" bestFit="1" customWidth="1"/>
    <col min="6" max="6" width="9.88671875" bestFit="1" customWidth="1"/>
    <col min="7" max="7" width="38.88671875" bestFit="1" customWidth="1"/>
    <col min="8" max="8" width="11" bestFit="1" customWidth="1"/>
    <col min="9" max="9" width="7.88671875" bestFit="1" customWidth="1"/>
    <col min="10" max="10" width="10.33203125" bestFit="1" customWidth="1"/>
    <col min="11" max="11" width="3.33203125" bestFit="1" customWidth="1"/>
    <col min="12" max="12" width="5.6640625" bestFit="1" customWidth="1"/>
    <col min="13" max="13" width="7.5546875" bestFit="1" customWidth="1"/>
    <col min="14" max="14" width="8.33203125" bestFit="1" customWidth="1"/>
    <col min="15" max="15" width="7.109375" bestFit="1" customWidth="1"/>
    <col min="16" max="16" width="7.88671875" bestFit="1" customWidth="1"/>
    <col min="17" max="17" width="8.44140625" bestFit="1" customWidth="1"/>
    <col min="18" max="18" width="6.88671875" bestFit="1" customWidth="1"/>
    <col min="19" max="19" width="11.33203125" bestFit="1" customWidth="1"/>
    <col min="20" max="20" width="7.88671875" bestFit="1" customWidth="1"/>
    <col min="21" max="21" width="31.88671875" bestFit="1" customWidth="1"/>
    <col min="22" max="22" width="13.6640625" style="143" bestFit="1" customWidth="1"/>
  </cols>
  <sheetData>
    <row r="2" spans="2:22" ht="41.4">
      <c r="B2" s="133" t="s">
        <v>990</v>
      </c>
      <c r="C2" s="133" t="s">
        <v>991</v>
      </c>
      <c r="D2" s="133" t="s">
        <v>992</v>
      </c>
      <c r="E2" s="133" t="s">
        <v>993</v>
      </c>
      <c r="F2" s="133" t="s">
        <v>994</v>
      </c>
      <c r="G2" s="133" t="s">
        <v>995</v>
      </c>
      <c r="H2" s="133" t="s">
        <v>996</v>
      </c>
      <c r="I2" s="133" t="s">
        <v>997</v>
      </c>
      <c r="J2" s="133" t="s">
        <v>998</v>
      </c>
      <c r="K2" s="133" t="s">
        <v>453</v>
      </c>
      <c r="L2" s="133" t="s">
        <v>999</v>
      </c>
      <c r="M2" s="133" t="s">
        <v>1000</v>
      </c>
      <c r="N2" s="133" t="s">
        <v>1001</v>
      </c>
      <c r="O2" s="133" t="s">
        <v>1002</v>
      </c>
      <c r="P2" s="133" t="s">
        <v>1003</v>
      </c>
      <c r="Q2" s="133" t="s">
        <v>1004</v>
      </c>
      <c r="R2" s="133" t="s">
        <v>1005</v>
      </c>
      <c r="S2" s="134" t="s">
        <v>1006</v>
      </c>
      <c r="T2" s="135" t="s">
        <v>980</v>
      </c>
      <c r="U2" s="136" t="s">
        <v>1007</v>
      </c>
      <c r="V2" s="137" t="s">
        <v>1008</v>
      </c>
    </row>
    <row r="3" spans="2:22" hidden="1">
      <c r="B3" s="138">
        <v>1</v>
      </c>
      <c r="C3" s="138" t="s">
        <v>1009</v>
      </c>
      <c r="D3" s="138" t="s">
        <v>1010</v>
      </c>
      <c r="E3" s="139">
        <v>245252603006</v>
      </c>
      <c r="F3" s="140">
        <v>46099</v>
      </c>
      <c r="G3" s="141" t="s">
        <v>1011</v>
      </c>
      <c r="H3" s="138" t="s">
        <v>1012</v>
      </c>
      <c r="I3" s="138" t="s">
        <v>1013</v>
      </c>
      <c r="J3" s="138" t="s">
        <v>1014</v>
      </c>
      <c r="K3" s="138">
        <v>17</v>
      </c>
      <c r="L3" s="138">
        <v>1.5</v>
      </c>
      <c r="M3" s="138">
        <v>30</v>
      </c>
      <c r="N3" s="138" t="s">
        <v>214</v>
      </c>
      <c r="O3" s="138">
        <v>50000</v>
      </c>
      <c r="P3" s="138">
        <v>0</v>
      </c>
      <c r="Q3" s="138">
        <v>50000</v>
      </c>
      <c r="R3" s="142">
        <v>7.74</v>
      </c>
      <c r="S3" s="142">
        <v>174150</v>
      </c>
      <c r="T3" s="138" t="s">
        <v>1015</v>
      </c>
      <c r="U3" s="42" t="str">
        <f>+I3&amp;" "&amp;J3&amp;"X"&amp;L3&amp;"X"&amp;M3&amp;"  "&amp;N3</f>
        <v>HHB M10X1.5X30  PPL-10.9</v>
      </c>
      <c r="V3" s="108">
        <v>45787</v>
      </c>
    </row>
    <row r="4" spans="2:22" hidden="1">
      <c r="B4" s="138">
        <v>2</v>
      </c>
      <c r="C4" s="138" t="s">
        <v>1009</v>
      </c>
      <c r="D4" s="138" t="s">
        <v>1010</v>
      </c>
      <c r="E4" s="139">
        <v>245252603006</v>
      </c>
      <c r="F4" s="140">
        <v>46099</v>
      </c>
      <c r="G4" s="141" t="s">
        <v>1011</v>
      </c>
      <c r="H4" s="138" t="s">
        <v>1016</v>
      </c>
      <c r="I4" s="138" t="s">
        <v>1013</v>
      </c>
      <c r="J4" s="138" t="s">
        <v>1014</v>
      </c>
      <c r="K4" s="138">
        <v>16</v>
      </c>
      <c r="L4" s="138">
        <v>1.5</v>
      </c>
      <c r="M4" s="138">
        <v>30</v>
      </c>
      <c r="N4" s="138" t="s">
        <v>214</v>
      </c>
      <c r="O4" s="138">
        <v>20000</v>
      </c>
      <c r="P4" s="138">
        <v>0</v>
      </c>
      <c r="Q4" s="138">
        <v>20000</v>
      </c>
      <c r="R4" s="142">
        <v>7.74</v>
      </c>
      <c r="S4" s="142">
        <v>69660</v>
      </c>
      <c r="T4" s="138" t="s">
        <v>1015</v>
      </c>
      <c r="U4" s="42" t="str">
        <f t="shared" ref="U4:U67" si="0">+I4&amp;" "&amp;J4&amp;"X"&amp;L4&amp;"X"&amp;M4&amp;"  "&amp;N4</f>
        <v>HHB M10X1.5X30  PPL-10.9</v>
      </c>
      <c r="V4" s="108">
        <v>45787</v>
      </c>
    </row>
    <row r="5" spans="2:22">
      <c r="B5" s="138">
        <v>3</v>
      </c>
      <c r="C5" s="138" t="s">
        <v>1009</v>
      </c>
      <c r="D5" s="138" t="s">
        <v>1017</v>
      </c>
      <c r="E5" s="139">
        <v>245252603008</v>
      </c>
      <c r="F5" s="140">
        <v>46102</v>
      </c>
      <c r="G5" s="141" t="s">
        <v>1018</v>
      </c>
      <c r="H5" s="138" t="s">
        <v>1019</v>
      </c>
      <c r="I5" s="138" t="s">
        <v>1020</v>
      </c>
      <c r="J5" s="138" t="s">
        <v>1021</v>
      </c>
      <c r="K5" s="138">
        <v>19</v>
      </c>
      <c r="L5" s="138">
        <v>1.5</v>
      </c>
      <c r="M5" s="138">
        <v>25</v>
      </c>
      <c r="N5" s="138" t="s">
        <v>214</v>
      </c>
      <c r="O5" s="138">
        <v>600</v>
      </c>
      <c r="P5" s="138">
        <v>0</v>
      </c>
      <c r="Q5" s="138">
        <v>600</v>
      </c>
      <c r="R5" s="142">
        <v>12.91</v>
      </c>
      <c r="S5" s="142">
        <v>3485.7000000000003</v>
      </c>
      <c r="T5" s="138" t="s">
        <v>1015</v>
      </c>
      <c r="U5" s="42" t="str">
        <f t="shared" si="0"/>
        <v>HHS M12X1.5X25  PPL-10.9</v>
      </c>
      <c r="V5" s="143" t="s">
        <v>1022</v>
      </c>
    </row>
    <row r="6" spans="2:22" hidden="1">
      <c r="B6" s="138">
        <v>4</v>
      </c>
      <c r="C6" s="144" t="s">
        <v>1009</v>
      </c>
      <c r="D6" s="144" t="s">
        <v>1023</v>
      </c>
      <c r="E6" s="145">
        <v>245252603011</v>
      </c>
      <c r="F6" s="146">
        <v>46104</v>
      </c>
      <c r="G6" s="147" t="s">
        <v>1024</v>
      </c>
      <c r="H6" s="144" t="s">
        <v>1025</v>
      </c>
      <c r="I6" s="144" t="s">
        <v>1013</v>
      </c>
      <c r="J6" s="144" t="s">
        <v>1026</v>
      </c>
      <c r="K6" s="144">
        <v>10</v>
      </c>
      <c r="L6" s="144">
        <v>1</v>
      </c>
      <c r="M6" s="144">
        <v>70</v>
      </c>
      <c r="N6" s="144" t="s">
        <v>214</v>
      </c>
      <c r="O6" s="144">
        <v>800</v>
      </c>
      <c r="P6" s="144">
        <v>0</v>
      </c>
      <c r="Q6" s="144">
        <v>800</v>
      </c>
      <c r="R6" s="148">
        <v>6.27</v>
      </c>
      <c r="S6" s="149">
        <v>2257.2000000000003</v>
      </c>
      <c r="T6" s="144" t="s">
        <v>1015</v>
      </c>
      <c r="U6" s="42" t="str">
        <f t="shared" si="0"/>
        <v>HHB M6X1X70  PPL-10.9</v>
      </c>
      <c r="V6" s="150">
        <v>45787</v>
      </c>
    </row>
    <row r="7" spans="2:22" hidden="1">
      <c r="B7" s="138">
        <v>5</v>
      </c>
      <c r="C7" s="151" t="s">
        <v>1009</v>
      </c>
      <c r="D7" s="151" t="s">
        <v>1023</v>
      </c>
      <c r="E7" s="152">
        <v>245252603011</v>
      </c>
      <c r="F7" s="153">
        <v>46104</v>
      </c>
      <c r="G7" s="154" t="s">
        <v>1024</v>
      </c>
      <c r="H7" s="151" t="s">
        <v>1027</v>
      </c>
      <c r="I7" s="151" t="s">
        <v>1020</v>
      </c>
      <c r="J7" s="151" t="s">
        <v>1028</v>
      </c>
      <c r="K7" s="151">
        <v>13</v>
      </c>
      <c r="L7" s="151">
        <v>1.25</v>
      </c>
      <c r="M7" s="151">
        <v>25</v>
      </c>
      <c r="N7" s="151" t="s">
        <v>214</v>
      </c>
      <c r="O7" s="151">
        <v>1600</v>
      </c>
      <c r="P7" s="151">
        <v>0</v>
      </c>
      <c r="Q7" s="151">
        <v>1600</v>
      </c>
      <c r="R7" s="155">
        <v>4.8899999999999997</v>
      </c>
      <c r="S7" s="156">
        <v>3520.7999999999997</v>
      </c>
      <c r="T7" s="151" t="s">
        <v>1015</v>
      </c>
      <c r="U7" s="42" t="str">
        <f t="shared" si="0"/>
        <v>HHS M8X1.25X25  PPL-10.9</v>
      </c>
      <c r="V7" s="150">
        <v>45787</v>
      </c>
    </row>
    <row r="8" spans="2:22">
      <c r="B8" s="138">
        <v>6</v>
      </c>
      <c r="C8" s="138" t="s">
        <v>1009</v>
      </c>
      <c r="D8" s="138" t="s">
        <v>1023</v>
      </c>
      <c r="E8" s="139">
        <v>245252603011</v>
      </c>
      <c r="F8" s="140">
        <v>46104</v>
      </c>
      <c r="G8" s="141" t="s">
        <v>1024</v>
      </c>
      <c r="H8" s="138" t="s">
        <v>1019</v>
      </c>
      <c r="I8" s="138" t="s">
        <v>1020</v>
      </c>
      <c r="J8" s="138" t="s">
        <v>1021</v>
      </c>
      <c r="K8" s="138">
        <v>19</v>
      </c>
      <c r="L8" s="138">
        <v>1.5</v>
      </c>
      <c r="M8" s="138">
        <v>25</v>
      </c>
      <c r="N8" s="138" t="s">
        <v>214</v>
      </c>
      <c r="O8" s="138">
        <v>600</v>
      </c>
      <c r="P8" s="138">
        <v>0</v>
      </c>
      <c r="Q8" s="138">
        <v>600</v>
      </c>
      <c r="R8" s="157">
        <v>12.91</v>
      </c>
      <c r="S8" s="142">
        <v>3485.7000000000003</v>
      </c>
      <c r="T8" s="138" t="s">
        <v>1015</v>
      </c>
      <c r="U8" s="42" t="str">
        <f t="shared" si="0"/>
        <v>HHS M12X1.5X25  PPL-10.9</v>
      </c>
      <c r="V8" s="143" t="s">
        <v>1022</v>
      </c>
    </row>
    <row r="9" spans="2:22">
      <c r="B9" s="138">
        <v>7</v>
      </c>
      <c r="C9" s="138" t="s">
        <v>1009</v>
      </c>
      <c r="D9" s="138" t="s">
        <v>1023</v>
      </c>
      <c r="E9" s="139">
        <v>245252603011</v>
      </c>
      <c r="F9" s="140">
        <v>46104</v>
      </c>
      <c r="G9" s="141" t="s">
        <v>1024</v>
      </c>
      <c r="H9" s="138" t="s">
        <v>376</v>
      </c>
      <c r="I9" s="138" t="s">
        <v>1020</v>
      </c>
      <c r="J9" s="138" t="s">
        <v>1021</v>
      </c>
      <c r="K9" s="138">
        <v>19</v>
      </c>
      <c r="L9" s="138">
        <v>1.5</v>
      </c>
      <c r="M9" s="138">
        <v>35</v>
      </c>
      <c r="N9" s="138" t="s">
        <v>214</v>
      </c>
      <c r="O9" s="138">
        <v>400</v>
      </c>
      <c r="P9" s="138">
        <v>0</v>
      </c>
      <c r="Q9" s="138">
        <v>400</v>
      </c>
      <c r="R9" s="157">
        <v>16.260000000000002</v>
      </c>
      <c r="S9" s="142">
        <v>2926.8000000000006</v>
      </c>
      <c r="T9" s="138" t="s">
        <v>1015</v>
      </c>
      <c r="U9" s="42" t="str">
        <f t="shared" si="0"/>
        <v>HHS M12X1.5X35  PPL-10.9</v>
      </c>
      <c r="V9" s="143" t="s">
        <v>1022</v>
      </c>
    </row>
    <row r="10" spans="2:22">
      <c r="B10" s="138">
        <v>8</v>
      </c>
      <c r="C10" s="138" t="s">
        <v>1009</v>
      </c>
      <c r="D10" s="138" t="s">
        <v>1023</v>
      </c>
      <c r="E10" s="139">
        <v>245252603011</v>
      </c>
      <c r="F10" s="140">
        <v>46104</v>
      </c>
      <c r="G10" s="141" t="s">
        <v>1024</v>
      </c>
      <c r="H10" s="138" t="s">
        <v>1029</v>
      </c>
      <c r="I10" s="138" t="s">
        <v>1020</v>
      </c>
      <c r="J10" s="138" t="s">
        <v>1021</v>
      </c>
      <c r="K10" s="138">
        <v>19</v>
      </c>
      <c r="L10" s="138">
        <v>1.5</v>
      </c>
      <c r="M10" s="138">
        <v>40</v>
      </c>
      <c r="N10" s="138" t="s">
        <v>214</v>
      </c>
      <c r="O10" s="138">
        <v>400</v>
      </c>
      <c r="P10" s="138">
        <v>0</v>
      </c>
      <c r="Q10" s="138">
        <v>400</v>
      </c>
      <c r="R10" s="157">
        <v>13.06</v>
      </c>
      <c r="S10" s="142">
        <v>2350.8000000000002</v>
      </c>
      <c r="T10" s="138" t="s">
        <v>1015</v>
      </c>
      <c r="U10" s="42" t="str">
        <f t="shared" si="0"/>
        <v>HHS M12X1.5X40  PPL-10.9</v>
      </c>
      <c r="V10" s="143" t="s">
        <v>1022</v>
      </c>
    </row>
    <row r="11" spans="2:22" hidden="1">
      <c r="B11" s="138">
        <v>9</v>
      </c>
      <c r="C11" s="158" t="s">
        <v>1009</v>
      </c>
      <c r="D11" s="158" t="s">
        <v>1023</v>
      </c>
      <c r="E11" s="159">
        <v>245252603011</v>
      </c>
      <c r="F11" s="160">
        <v>46104</v>
      </c>
      <c r="G11" s="161" t="s">
        <v>1024</v>
      </c>
      <c r="H11" s="158" t="s">
        <v>1030</v>
      </c>
      <c r="I11" s="158" t="s">
        <v>1020</v>
      </c>
      <c r="J11" s="158" t="s">
        <v>1031</v>
      </c>
      <c r="K11" s="158">
        <v>22</v>
      </c>
      <c r="L11" s="158">
        <v>2</v>
      </c>
      <c r="M11" s="158">
        <v>50</v>
      </c>
      <c r="N11" s="158" t="s">
        <v>214</v>
      </c>
      <c r="O11" s="158">
        <v>240</v>
      </c>
      <c r="P11" s="158">
        <v>0</v>
      </c>
      <c r="Q11" s="158">
        <v>240</v>
      </c>
      <c r="R11" s="162">
        <v>24.86</v>
      </c>
      <c r="S11" s="163">
        <v>2684.88</v>
      </c>
      <c r="T11" s="158" t="s">
        <v>1015</v>
      </c>
      <c r="U11" s="42" t="str">
        <f t="shared" si="0"/>
        <v>HHS M14X2X50  PPL-10.9</v>
      </c>
      <c r="V11" s="150">
        <v>46167</v>
      </c>
    </row>
    <row r="12" spans="2:22" hidden="1">
      <c r="B12" s="138">
        <v>10</v>
      </c>
      <c r="C12" s="144" t="s">
        <v>1009</v>
      </c>
      <c r="D12" s="144" t="s">
        <v>1023</v>
      </c>
      <c r="E12" s="145">
        <v>245252603011</v>
      </c>
      <c r="F12" s="146">
        <v>46104</v>
      </c>
      <c r="G12" s="147" t="s">
        <v>1024</v>
      </c>
      <c r="H12" s="144" t="s">
        <v>195</v>
      </c>
      <c r="I12" s="144" t="s">
        <v>1013</v>
      </c>
      <c r="J12" s="144" t="s">
        <v>1032</v>
      </c>
      <c r="K12" s="144">
        <v>24</v>
      </c>
      <c r="L12" s="144">
        <v>2</v>
      </c>
      <c r="M12" s="144">
        <v>150</v>
      </c>
      <c r="N12" s="144" t="s">
        <v>214</v>
      </c>
      <c r="O12" s="144">
        <v>120</v>
      </c>
      <c r="P12" s="144">
        <v>0</v>
      </c>
      <c r="Q12" s="144">
        <v>120</v>
      </c>
      <c r="R12" s="148">
        <v>89.9</v>
      </c>
      <c r="S12" s="149">
        <v>4854.6000000000004</v>
      </c>
      <c r="T12" s="144" t="s">
        <v>1015</v>
      </c>
      <c r="U12" s="42" t="str">
        <f t="shared" si="0"/>
        <v>HHB M16X2X150  PPL-10.9</v>
      </c>
      <c r="V12" s="150">
        <v>46152</v>
      </c>
    </row>
    <row r="13" spans="2:22" hidden="1">
      <c r="B13" s="138">
        <v>11</v>
      </c>
      <c r="C13" s="138" t="s">
        <v>1009</v>
      </c>
      <c r="D13" s="138" t="s">
        <v>1023</v>
      </c>
      <c r="E13" s="139">
        <v>245252603011</v>
      </c>
      <c r="F13" s="140">
        <v>46104</v>
      </c>
      <c r="G13" s="141" t="s">
        <v>1024</v>
      </c>
      <c r="H13" s="138" t="s">
        <v>1033</v>
      </c>
      <c r="I13" s="138" t="s">
        <v>1013</v>
      </c>
      <c r="J13" s="138" t="s">
        <v>1034</v>
      </c>
      <c r="K13" s="138">
        <v>27</v>
      </c>
      <c r="L13" s="138">
        <v>2.5</v>
      </c>
      <c r="M13" s="138">
        <v>100</v>
      </c>
      <c r="N13" s="138" t="s">
        <v>214</v>
      </c>
      <c r="O13" s="138">
        <v>160</v>
      </c>
      <c r="P13" s="138">
        <v>0</v>
      </c>
      <c r="Q13" s="138">
        <v>160</v>
      </c>
      <c r="R13" s="157">
        <v>80.06</v>
      </c>
      <c r="S13" s="142">
        <v>5764.3200000000006</v>
      </c>
      <c r="T13" s="138" t="s">
        <v>1015</v>
      </c>
      <c r="U13" s="42" t="str">
        <f t="shared" si="0"/>
        <v>HHB M18X2.5X100  PPL-10.9</v>
      </c>
      <c r="V13" s="143" t="s">
        <v>1035</v>
      </c>
    </row>
    <row r="14" spans="2:22" hidden="1">
      <c r="B14" s="138">
        <v>12</v>
      </c>
      <c r="C14" s="144" t="s">
        <v>1009</v>
      </c>
      <c r="D14" s="145" t="s">
        <v>1036</v>
      </c>
      <c r="E14" s="145">
        <v>245252603006</v>
      </c>
      <c r="F14" s="146">
        <v>46099</v>
      </c>
      <c r="G14" s="147" t="s">
        <v>1011</v>
      </c>
      <c r="H14" s="144" t="s">
        <v>1037</v>
      </c>
      <c r="I14" s="144" t="s">
        <v>1013</v>
      </c>
      <c r="J14" s="144" t="s">
        <v>1028</v>
      </c>
      <c r="K14" s="144">
        <v>13</v>
      </c>
      <c r="L14" s="144">
        <v>1.25</v>
      </c>
      <c r="M14" s="144">
        <v>105</v>
      </c>
      <c r="N14" s="144" t="s">
        <v>214</v>
      </c>
      <c r="O14" s="144">
        <v>400</v>
      </c>
      <c r="P14" s="164"/>
      <c r="Q14" s="144">
        <v>400</v>
      </c>
      <c r="R14" s="149">
        <v>15.34</v>
      </c>
      <c r="S14" s="149">
        <v>2761.2000000000003</v>
      </c>
      <c r="T14" s="144" t="s">
        <v>1015</v>
      </c>
      <c r="U14" s="42" t="str">
        <f t="shared" si="0"/>
        <v>HHB M8X1.25X105  PPL-10.9</v>
      </c>
      <c r="V14" s="143" t="s">
        <v>1038</v>
      </c>
    </row>
    <row r="15" spans="2:22" hidden="1">
      <c r="B15" s="138">
        <v>13</v>
      </c>
      <c r="C15" s="138" t="s">
        <v>1009</v>
      </c>
      <c r="D15" s="139" t="s">
        <v>1036</v>
      </c>
      <c r="E15" s="139">
        <v>245252603006</v>
      </c>
      <c r="F15" s="140">
        <v>46099</v>
      </c>
      <c r="G15" s="141" t="s">
        <v>1011</v>
      </c>
      <c r="H15" s="138" t="s">
        <v>1039</v>
      </c>
      <c r="I15" s="138" t="s">
        <v>1013</v>
      </c>
      <c r="J15" s="138" t="s">
        <v>1028</v>
      </c>
      <c r="K15" s="138">
        <v>13</v>
      </c>
      <c r="L15" s="138">
        <v>1.25</v>
      </c>
      <c r="M15" s="138">
        <v>110</v>
      </c>
      <c r="N15" s="138" t="s">
        <v>214</v>
      </c>
      <c r="O15" s="138">
        <v>300</v>
      </c>
      <c r="P15" s="165"/>
      <c r="Q15" s="138">
        <v>300</v>
      </c>
      <c r="R15" s="142">
        <v>16.12</v>
      </c>
      <c r="S15" s="142">
        <v>2176.2000000000003</v>
      </c>
      <c r="T15" s="138" t="s">
        <v>1015</v>
      </c>
      <c r="U15" s="42" t="str">
        <f t="shared" si="0"/>
        <v>HHB M8X1.25X110  PPL-10.9</v>
      </c>
      <c r="V15" s="143" t="s">
        <v>1038</v>
      </c>
    </row>
    <row r="16" spans="2:22" hidden="1">
      <c r="B16" s="138">
        <v>14</v>
      </c>
      <c r="C16" s="138" t="s">
        <v>1009</v>
      </c>
      <c r="D16" s="139" t="s">
        <v>1036</v>
      </c>
      <c r="E16" s="139">
        <v>245252603006</v>
      </c>
      <c r="F16" s="140">
        <v>46099</v>
      </c>
      <c r="G16" s="141" t="s">
        <v>1011</v>
      </c>
      <c r="H16" s="138" t="s">
        <v>1040</v>
      </c>
      <c r="I16" s="138" t="s">
        <v>1013</v>
      </c>
      <c r="J16" s="138" t="s">
        <v>1028</v>
      </c>
      <c r="K16" s="138">
        <v>13</v>
      </c>
      <c r="L16" s="138">
        <v>1.25</v>
      </c>
      <c r="M16" s="138">
        <v>125</v>
      </c>
      <c r="N16" s="138" t="s">
        <v>214</v>
      </c>
      <c r="O16" s="138">
        <v>300</v>
      </c>
      <c r="P16" s="165"/>
      <c r="Q16" s="138">
        <v>300</v>
      </c>
      <c r="R16" s="142">
        <v>19.579999999999998</v>
      </c>
      <c r="S16" s="142">
        <v>2643.2999999999997</v>
      </c>
      <c r="T16" s="138" t="s">
        <v>1015</v>
      </c>
      <c r="U16" s="42" t="str">
        <f t="shared" si="0"/>
        <v>HHB M8X1.25X125  PPL-10.9</v>
      </c>
      <c r="V16" s="143" t="s">
        <v>1038</v>
      </c>
    </row>
    <row r="17" spans="2:22" hidden="1">
      <c r="B17" s="138">
        <v>15</v>
      </c>
      <c r="C17" s="144" t="s">
        <v>1009</v>
      </c>
      <c r="D17" s="145" t="s">
        <v>1036</v>
      </c>
      <c r="E17" s="145">
        <v>245252603006</v>
      </c>
      <c r="F17" s="146">
        <v>46099</v>
      </c>
      <c r="G17" s="147" t="s">
        <v>1011</v>
      </c>
      <c r="H17" s="144" t="s">
        <v>1041</v>
      </c>
      <c r="I17" s="144" t="s">
        <v>1013</v>
      </c>
      <c r="J17" s="144" t="s">
        <v>1014</v>
      </c>
      <c r="K17" s="144">
        <v>17</v>
      </c>
      <c r="L17" s="144">
        <v>1.5</v>
      </c>
      <c r="M17" s="144">
        <v>80</v>
      </c>
      <c r="N17" s="144" t="s">
        <v>214</v>
      </c>
      <c r="O17" s="144">
        <v>320</v>
      </c>
      <c r="P17" s="164"/>
      <c r="Q17" s="144">
        <v>320</v>
      </c>
      <c r="R17" s="149">
        <v>20.07</v>
      </c>
      <c r="S17" s="149">
        <v>2890.08</v>
      </c>
      <c r="T17" s="144" t="s">
        <v>1015</v>
      </c>
      <c r="U17" s="42" t="str">
        <f t="shared" si="0"/>
        <v>HHB M10X1.5X80  PPL-10.9</v>
      </c>
      <c r="V17" s="108">
        <v>46160</v>
      </c>
    </row>
    <row r="18" spans="2:22" hidden="1">
      <c r="B18" s="138">
        <v>16</v>
      </c>
      <c r="C18" s="138" t="s">
        <v>1009</v>
      </c>
      <c r="D18" s="139" t="s">
        <v>1036</v>
      </c>
      <c r="E18" s="139">
        <v>245252603006</v>
      </c>
      <c r="F18" s="140">
        <v>46099</v>
      </c>
      <c r="G18" s="141" t="s">
        <v>1011</v>
      </c>
      <c r="H18" s="138" t="s">
        <v>1042</v>
      </c>
      <c r="I18" s="138" t="s">
        <v>1013</v>
      </c>
      <c r="J18" s="138" t="s">
        <v>1014</v>
      </c>
      <c r="K18" s="138">
        <v>17</v>
      </c>
      <c r="L18" s="138">
        <v>1.5</v>
      </c>
      <c r="M18" s="138">
        <v>90</v>
      </c>
      <c r="N18" s="138" t="s">
        <v>214</v>
      </c>
      <c r="O18" s="138">
        <v>960</v>
      </c>
      <c r="P18" s="165"/>
      <c r="Q18" s="138">
        <v>960</v>
      </c>
      <c r="R18" s="142">
        <v>22.3</v>
      </c>
      <c r="S18" s="142">
        <v>9633.6</v>
      </c>
      <c r="T18" s="138" t="s">
        <v>1015</v>
      </c>
      <c r="U18" s="42" t="str">
        <f t="shared" si="0"/>
        <v>HHB M10X1.5X90  PPL-10.9</v>
      </c>
      <c r="V18" s="108">
        <v>46160</v>
      </c>
    </row>
    <row r="19" spans="2:22" hidden="1">
      <c r="B19" s="138">
        <v>17</v>
      </c>
      <c r="C19" s="138" t="s">
        <v>1009</v>
      </c>
      <c r="D19" s="139" t="s">
        <v>1036</v>
      </c>
      <c r="E19" s="139">
        <v>245252603006</v>
      </c>
      <c r="F19" s="140">
        <v>46099</v>
      </c>
      <c r="G19" s="141" t="s">
        <v>1011</v>
      </c>
      <c r="H19" s="138" t="s">
        <v>1043</v>
      </c>
      <c r="I19" s="138" t="s">
        <v>1013</v>
      </c>
      <c r="J19" s="138" t="s">
        <v>1014</v>
      </c>
      <c r="K19" s="138">
        <v>17</v>
      </c>
      <c r="L19" s="138">
        <v>1.5</v>
      </c>
      <c r="M19" s="138">
        <v>100</v>
      </c>
      <c r="N19" s="138" t="s">
        <v>214</v>
      </c>
      <c r="O19" s="138">
        <v>840</v>
      </c>
      <c r="P19" s="165"/>
      <c r="Q19" s="138">
        <v>840</v>
      </c>
      <c r="R19" s="142">
        <v>24.39</v>
      </c>
      <c r="S19" s="142">
        <v>9219.4200000000019</v>
      </c>
      <c r="T19" s="138" t="s">
        <v>1015</v>
      </c>
      <c r="U19" s="42" t="str">
        <f t="shared" si="0"/>
        <v>HHB M10X1.5X100  PPL-10.9</v>
      </c>
      <c r="V19" s="108">
        <v>46160</v>
      </c>
    </row>
    <row r="20" spans="2:22" hidden="1">
      <c r="B20" s="138">
        <v>18</v>
      </c>
      <c r="C20" s="138" t="s">
        <v>1009</v>
      </c>
      <c r="D20" s="139" t="s">
        <v>1036</v>
      </c>
      <c r="E20" s="139">
        <v>245252603006</v>
      </c>
      <c r="F20" s="140">
        <v>46099</v>
      </c>
      <c r="G20" s="141" t="s">
        <v>1011</v>
      </c>
      <c r="H20" s="138" t="s">
        <v>1044</v>
      </c>
      <c r="I20" s="138" t="s">
        <v>1013</v>
      </c>
      <c r="J20" s="138" t="s">
        <v>1014</v>
      </c>
      <c r="K20" s="138">
        <v>17</v>
      </c>
      <c r="L20" s="138">
        <v>1.5</v>
      </c>
      <c r="M20" s="138">
        <v>125</v>
      </c>
      <c r="N20" s="138" t="s">
        <v>214</v>
      </c>
      <c r="O20" s="138">
        <v>200</v>
      </c>
      <c r="P20" s="165"/>
      <c r="Q20" s="138">
        <v>200</v>
      </c>
      <c r="R20" s="142">
        <v>29.85</v>
      </c>
      <c r="S20" s="142">
        <v>2686.5</v>
      </c>
      <c r="T20" s="138" t="s">
        <v>1015</v>
      </c>
      <c r="U20" s="42" t="str">
        <f t="shared" si="0"/>
        <v>HHB M10X1.5X125  PPL-10.9</v>
      </c>
      <c r="V20" s="108">
        <v>46160</v>
      </c>
    </row>
    <row r="21" spans="2:22">
      <c r="B21" s="138">
        <v>19</v>
      </c>
      <c r="C21" s="138" t="s">
        <v>1009</v>
      </c>
      <c r="D21" s="139" t="s">
        <v>1045</v>
      </c>
      <c r="E21" s="139">
        <v>245252603006</v>
      </c>
      <c r="F21" s="140">
        <v>46099</v>
      </c>
      <c r="G21" s="141" t="s">
        <v>1011</v>
      </c>
      <c r="H21" s="138" t="s">
        <v>1019</v>
      </c>
      <c r="I21" s="138" t="s">
        <v>1020</v>
      </c>
      <c r="J21" s="138" t="s">
        <v>1021</v>
      </c>
      <c r="K21" s="138">
        <v>19</v>
      </c>
      <c r="L21" s="138">
        <v>1.5</v>
      </c>
      <c r="M21" s="138">
        <v>25</v>
      </c>
      <c r="N21" s="138" t="s">
        <v>214</v>
      </c>
      <c r="O21" s="138">
        <v>1200</v>
      </c>
      <c r="P21" s="165"/>
      <c r="Q21" s="138">
        <v>1200</v>
      </c>
      <c r="R21" s="142">
        <v>12.91</v>
      </c>
      <c r="S21" s="142">
        <v>6971.4000000000005</v>
      </c>
      <c r="T21" s="138" t="s">
        <v>1015</v>
      </c>
      <c r="U21" s="42" t="str">
        <f t="shared" si="0"/>
        <v>HHS M12X1.5X25  PPL-10.9</v>
      </c>
      <c r="V21" s="143" t="s">
        <v>1022</v>
      </c>
    </row>
    <row r="22" spans="2:22">
      <c r="B22" s="138">
        <v>20</v>
      </c>
      <c r="C22" s="138" t="s">
        <v>1009</v>
      </c>
      <c r="D22" s="139" t="s">
        <v>1045</v>
      </c>
      <c r="E22" s="139">
        <v>245252603006</v>
      </c>
      <c r="F22" s="140">
        <v>46099</v>
      </c>
      <c r="G22" s="141" t="s">
        <v>1011</v>
      </c>
      <c r="H22" s="138" t="s">
        <v>376</v>
      </c>
      <c r="I22" s="138" t="s">
        <v>1020</v>
      </c>
      <c r="J22" s="138" t="s">
        <v>1021</v>
      </c>
      <c r="K22" s="138">
        <v>19</v>
      </c>
      <c r="L22" s="138">
        <v>1.5</v>
      </c>
      <c r="M22" s="138">
        <v>35</v>
      </c>
      <c r="N22" s="138" t="s">
        <v>214</v>
      </c>
      <c r="O22" s="138">
        <v>2000</v>
      </c>
      <c r="P22" s="165"/>
      <c r="Q22" s="138">
        <v>2000</v>
      </c>
      <c r="R22" s="142">
        <v>16.260000000000002</v>
      </c>
      <c r="S22" s="142">
        <v>14634.000000000002</v>
      </c>
      <c r="T22" s="138" t="s">
        <v>1015</v>
      </c>
      <c r="U22" s="42" t="str">
        <f t="shared" si="0"/>
        <v>HHS M12X1.5X35  PPL-10.9</v>
      </c>
      <c r="V22" s="143" t="s">
        <v>1022</v>
      </c>
    </row>
    <row r="23" spans="2:22">
      <c r="B23" s="138">
        <v>21</v>
      </c>
      <c r="C23" s="138" t="s">
        <v>1009</v>
      </c>
      <c r="D23" s="139" t="s">
        <v>1045</v>
      </c>
      <c r="E23" s="139">
        <v>245252603006</v>
      </c>
      <c r="F23" s="140">
        <v>46099</v>
      </c>
      <c r="G23" s="141" t="s">
        <v>1011</v>
      </c>
      <c r="H23" s="138" t="s">
        <v>1029</v>
      </c>
      <c r="I23" s="138" t="s">
        <v>1020</v>
      </c>
      <c r="J23" s="138" t="s">
        <v>1021</v>
      </c>
      <c r="K23" s="138">
        <v>19</v>
      </c>
      <c r="L23" s="138">
        <v>1.5</v>
      </c>
      <c r="M23" s="138">
        <v>40</v>
      </c>
      <c r="N23" s="138" t="s">
        <v>214</v>
      </c>
      <c r="O23" s="138">
        <v>800</v>
      </c>
      <c r="P23" s="165"/>
      <c r="Q23" s="138">
        <v>800</v>
      </c>
      <c r="R23" s="142">
        <v>13.06</v>
      </c>
      <c r="S23" s="142">
        <v>4701.6000000000004</v>
      </c>
      <c r="T23" s="138" t="s">
        <v>1015</v>
      </c>
      <c r="U23" s="42" t="str">
        <f t="shared" si="0"/>
        <v>HHS M12X1.5X40  PPL-10.9</v>
      </c>
      <c r="V23" s="143" t="s">
        <v>1022</v>
      </c>
    </row>
    <row r="24" spans="2:22" hidden="1">
      <c r="B24" s="138">
        <v>22</v>
      </c>
      <c r="C24" s="138" t="s">
        <v>1009</v>
      </c>
      <c r="D24" s="139" t="s">
        <v>1045</v>
      </c>
      <c r="E24" s="139">
        <v>245252603006</v>
      </c>
      <c r="F24" s="140">
        <v>46099</v>
      </c>
      <c r="G24" s="141" t="s">
        <v>1011</v>
      </c>
      <c r="H24" s="138" t="s">
        <v>377</v>
      </c>
      <c r="I24" s="138" t="s">
        <v>1020</v>
      </c>
      <c r="J24" s="138" t="s">
        <v>1021</v>
      </c>
      <c r="K24" s="138">
        <v>19</v>
      </c>
      <c r="L24" s="138">
        <v>1.5</v>
      </c>
      <c r="M24" s="138">
        <v>45</v>
      </c>
      <c r="N24" s="138" t="s">
        <v>214</v>
      </c>
      <c r="O24" s="138">
        <v>800</v>
      </c>
      <c r="P24" s="165"/>
      <c r="Q24" s="138">
        <v>800</v>
      </c>
      <c r="R24" s="142">
        <v>18.46</v>
      </c>
      <c r="S24" s="142">
        <v>6645.6</v>
      </c>
      <c r="T24" s="138" t="s">
        <v>1015</v>
      </c>
      <c r="U24" s="42" t="str">
        <f t="shared" si="0"/>
        <v>HHS M12X1.5X45  PPL-10.9</v>
      </c>
      <c r="V24" s="143" t="s">
        <v>1022</v>
      </c>
    </row>
    <row r="25" spans="2:22" hidden="1">
      <c r="B25" s="138">
        <v>23</v>
      </c>
      <c r="C25" s="138" t="s">
        <v>1009</v>
      </c>
      <c r="D25" s="139" t="s">
        <v>1045</v>
      </c>
      <c r="E25" s="139">
        <v>245252603006</v>
      </c>
      <c r="F25" s="140">
        <v>46099</v>
      </c>
      <c r="G25" s="141" t="s">
        <v>1011</v>
      </c>
      <c r="H25" s="138" t="s">
        <v>1046</v>
      </c>
      <c r="I25" s="138" t="s">
        <v>1020</v>
      </c>
      <c r="J25" s="138" t="s">
        <v>1021</v>
      </c>
      <c r="K25" s="138">
        <v>19</v>
      </c>
      <c r="L25" s="138">
        <v>1.5</v>
      </c>
      <c r="M25" s="138">
        <v>80</v>
      </c>
      <c r="N25" s="138" t="s">
        <v>214</v>
      </c>
      <c r="O25" s="138">
        <v>800</v>
      </c>
      <c r="P25" s="165"/>
      <c r="Q25" s="138">
        <v>800</v>
      </c>
      <c r="R25" s="142">
        <v>18.989999999999998</v>
      </c>
      <c r="S25" s="142">
        <v>6836.4</v>
      </c>
      <c r="T25" s="138" t="s">
        <v>1015</v>
      </c>
      <c r="U25" s="42" t="str">
        <f t="shared" si="0"/>
        <v>HHS M12X1.5X80  PPL-10.9</v>
      </c>
      <c r="V25" s="150">
        <v>46152</v>
      </c>
    </row>
    <row r="26" spans="2:22" hidden="1">
      <c r="B26" s="138">
        <v>24</v>
      </c>
      <c r="C26" s="138" t="s">
        <v>1009</v>
      </c>
      <c r="D26" s="139" t="s">
        <v>1045</v>
      </c>
      <c r="E26" s="139">
        <v>245252603006</v>
      </c>
      <c r="F26" s="140">
        <v>46099</v>
      </c>
      <c r="G26" s="141" t="s">
        <v>1011</v>
      </c>
      <c r="H26" s="138" t="s">
        <v>463</v>
      </c>
      <c r="I26" s="138" t="s">
        <v>1013</v>
      </c>
      <c r="J26" s="138" t="s">
        <v>1021</v>
      </c>
      <c r="K26" s="138">
        <v>19</v>
      </c>
      <c r="L26" s="138">
        <v>1.5</v>
      </c>
      <c r="M26" s="138">
        <v>65</v>
      </c>
      <c r="N26" s="138" t="s">
        <v>214</v>
      </c>
      <c r="O26" s="138">
        <v>240</v>
      </c>
      <c r="P26" s="165"/>
      <c r="Q26" s="138">
        <v>240</v>
      </c>
      <c r="R26" s="142">
        <v>25.01</v>
      </c>
      <c r="S26" s="142">
        <v>2701.0800000000004</v>
      </c>
      <c r="T26" s="138" t="s">
        <v>1015</v>
      </c>
      <c r="U26" s="42" t="str">
        <f t="shared" si="0"/>
        <v>HHB M12X1.5X65  PPL-10.9</v>
      </c>
      <c r="V26" s="150">
        <v>46160</v>
      </c>
    </row>
    <row r="27" spans="2:22" hidden="1">
      <c r="B27" s="138">
        <v>25</v>
      </c>
      <c r="C27" s="138" t="s">
        <v>1009</v>
      </c>
      <c r="D27" s="139" t="s">
        <v>1045</v>
      </c>
      <c r="E27" s="139">
        <v>245252603006</v>
      </c>
      <c r="F27" s="140">
        <v>46099</v>
      </c>
      <c r="G27" s="141" t="s">
        <v>1011</v>
      </c>
      <c r="H27" s="138" t="s">
        <v>465</v>
      </c>
      <c r="I27" s="138" t="s">
        <v>1013</v>
      </c>
      <c r="J27" s="138" t="s">
        <v>1021</v>
      </c>
      <c r="K27" s="138">
        <v>19</v>
      </c>
      <c r="L27" s="138">
        <v>1.5</v>
      </c>
      <c r="M27" s="138">
        <v>100</v>
      </c>
      <c r="N27" s="138" t="s">
        <v>214</v>
      </c>
      <c r="O27" s="138">
        <v>200</v>
      </c>
      <c r="P27" s="165"/>
      <c r="Q27" s="138">
        <v>200</v>
      </c>
      <c r="R27" s="142">
        <v>35.06</v>
      </c>
      <c r="S27" s="142">
        <v>3155.4</v>
      </c>
      <c r="T27" s="138" t="s">
        <v>1015</v>
      </c>
      <c r="U27" s="42" t="str">
        <f t="shared" si="0"/>
        <v>HHB M12X1.5X100  PPL-10.9</v>
      </c>
      <c r="V27" s="150">
        <v>46160</v>
      </c>
    </row>
    <row r="28" spans="2:22" hidden="1">
      <c r="B28" s="138">
        <v>26</v>
      </c>
      <c r="C28" s="138" t="s">
        <v>1009</v>
      </c>
      <c r="D28" s="139" t="s">
        <v>1045</v>
      </c>
      <c r="E28" s="139">
        <v>245252603006</v>
      </c>
      <c r="F28" s="140">
        <v>46099</v>
      </c>
      <c r="G28" s="141" t="s">
        <v>1011</v>
      </c>
      <c r="H28" s="138" t="s">
        <v>1047</v>
      </c>
      <c r="I28" s="138" t="s">
        <v>1013</v>
      </c>
      <c r="J28" s="138" t="s">
        <v>1021</v>
      </c>
      <c r="K28" s="138">
        <v>19</v>
      </c>
      <c r="L28" s="138">
        <v>1.5</v>
      </c>
      <c r="M28" s="138">
        <v>125</v>
      </c>
      <c r="N28" s="138" t="s">
        <v>214</v>
      </c>
      <c r="O28" s="138">
        <v>320</v>
      </c>
      <c r="P28" s="165"/>
      <c r="Q28" s="138">
        <v>320</v>
      </c>
      <c r="R28" s="142">
        <v>44.91</v>
      </c>
      <c r="S28" s="142">
        <v>6467.04</v>
      </c>
      <c r="T28" s="138" t="s">
        <v>1015</v>
      </c>
      <c r="U28" s="42" t="str">
        <f t="shared" si="0"/>
        <v>HHB M12X1.5X125  PPL-10.9</v>
      </c>
      <c r="V28" s="150">
        <v>46160</v>
      </c>
    </row>
    <row r="29" spans="2:22" hidden="1">
      <c r="B29" s="138">
        <v>27</v>
      </c>
      <c r="C29" s="138" t="s">
        <v>1009</v>
      </c>
      <c r="D29" s="139" t="s">
        <v>1045</v>
      </c>
      <c r="E29" s="139">
        <v>245252603006</v>
      </c>
      <c r="F29" s="140">
        <v>46099</v>
      </c>
      <c r="G29" s="141" t="s">
        <v>1011</v>
      </c>
      <c r="H29" s="138" t="s">
        <v>1048</v>
      </c>
      <c r="I29" s="138" t="s">
        <v>1013</v>
      </c>
      <c r="J29" s="138" t="s">
        <v>1021</v>
      </c>
      <c r="K29" s="138">
        <v>19</v>
      </c>
      <c r="L29" s="138">
        <v>1.5</v>
      </c>
      <c r="M29" s="138">
        <v>130</v>
      </c>
      <c r="N29" s="138" t="s">
        <v>214</v>
      </c>
      <c r="O29" s="138">
        <v>160</v>
      </c>
      <c r="P29" s="165"/>
      <c r="Q29" s="138">
        <v>160</v>
      </c>
      <c r="R29" s="142">
        <v>45.08</v>
      </c>
      <c r="S29" s="142">
        <v>3245.7599999999998</v>
      </c>
      <c r="T29" s="138" t="s">
        <v>1015</v>
      </c>
      <c r="U29" s="42" t="str">
        <f t="shared" si="0"/>
        <v>HHB M12X1.5X130  PPL-10.9</v>
      </c>
      <c r="V29" s="150">
        <v>46160</v>
      </c>
    </row>
    <row r="30" spans="2:22" hidden="1">
      <c r="B30" s="138">
        <v>28</v>
      </c>
      <c r="C30" s="144" t="s">
        <v>1009</v>
      </c>
      <c r="D30" s="145" t="s">
        <v>1045</v>
      </c>
      <c r="E30" s="145">
        <v>245252603006</v>
      </c>
      <c r="F30" s="146">
        <v>46099</v>
      </c>
      <c r="G30" s="147" t="s">
        <v>1011</v>
      </c>
      <c r="H30" s="144" t="s">
        <v>1049</v>
      </c>
      <c r="I30" s="144" t="s">
        <v>1020</v>
      </c>
      <c r="J30" s="144" t="s">
        <v>1021</v>
      </c>
      <c r="K30" s="144">
        <v>19</v>
      </c>
      <c r="L30" s="144">
        <v>1.75</v>
      </c>
      <c r="M30" s="144">
        <v>65</v>
      </c>
      <c r="N30" s="144" t="s">
        <v>214</v>
      </c>
      <c r="O30" s="144">
        <v>640</v>
      </c>
      <c r="P30" s="164"/>
      <c r="Q30" s="144">
        <v>640</v>
      </c>
      <c r="R30" s="149">
        <v>25.01</v>
      </c>
      <c r="S30" s="149">
        <v>7202.880000000001</v>
      </c>
      <c r="T30" s="144" t="s">
        <v>1015</v>
      </c>
      <c r="U30" s="42" t="str">
        <f t="shared" si="0"/>
        <v>HHS M12X1.75X65  PPL-10.9</v>
      </c>
      <c r="V30" s="143" t="s">
        <v>1050</v>
      </c>
    </row>
    <row r="31" spans="2:22" hidden="1">
      <c r="B31" s="138">
        <v>29</v>
      </c>
      <c r="C31" s="158" t="s">
        <v>1009</v>
      </c>
      <c r="D31" s="159" t="s">
        <v>1045</v>
      </c>
      <c r="E31" s="159">
        <v>245252603006</v>
      </c>
      <c r="F31" s="160">
        <v>46099</v>
      </c>
      <c r="G31" s="161" t="s">
        <v>1011</v>
      </c>
      <c r="H31" s="158" t="s">
        <v>169</v>
      </c>
      <c r="I31" s="158" t="s">
        <v>1013</v>
      </c>
      <c r="J31" s="158" t="s">
        <v>1031</v>
      </c>
      <c r="K31" s="158">
        <v>22</v>
      </c>
      <c r="L31" s="158">
        <v>1.5</v>
      </c>
      <c r="M31" s="158">
        <v>55</v>
      </c>
      <c r="N31" s="158" t="s">
        <v>214</v>
      </c>
      <c r="O31" s="158">
        <v>240</v>
      </c>
      <c r="P31" s="166"/>
      <c r="Q31" s="158">
        <v>240</v>
      </c>
      <c r="R31" s="163">
        <v>30.8</v>
      </c>
      <c r="S31" s="163">
        <v>3326.4</v>
      </c>
      <c r="T31" s="158" t="s">
        <v>1015</v>
      </c>
      <c r="U31" s="42" t="str">
        <f t="shared" si="0"/>
        <v>HHB M14X1.5X55  PPL-10.9</v>
      </c>
      <c r="V31" s="150">
        <v>46167</v>
      </c>
    </row>
    <row r="32" spans="2:22" hidden="1">
      <c r="B32" s="138">
        <v>30</v>
      </c>
      <c r="C32" s="144" t="s">
        <v>1009</v>
      </c>
      <c r="D32" s="145" t="s">
        <v>1045</v>
      </c>
      <c r="E32" s="145">
        <v>245252603006</v>
      </c>
      <c r="F32" s="146">
        <v>46099</v>
      </c>
      <c r="G32" s="147" t="s">
        <v>1011</v>
      </c>
      <c r="H32" s="144" t="s">
        <v>1051</v>
      </c>
      <c r="I32" s="144" t="s">
        <v>1013</v>
      </c>
      <c r="J32" s="144" t="s">
        <v>1031</v>
      </c>
      <c r="K32" s="144">
        <v>22</v>
      </c>
      <c r="L32" s="144">
        <v>1.5</v>
      </c>
      <c r="M32" s="144">
        <v>150</v>
      </c>
      <c r="N32" s="144" t="s">
        <v>214</v>
      </c>
      <c r="O32" s="144">
        <v>60</v>
      </c>
      <c r="P32" s="164"/>
      <c r="Q32" s="144">
        <v>60</v>
      </c>
      <c r="R32" s="149">
        <v>67.88</v>
      </c>
      <c r="S32" s="149">
        <v>1832.76</v>
      </c>
      <c r="T32" s="144" t="s">
        <v>1015</v>
      </c>
      <c r="U32" s="42" t="str">
        <f t="shared" si="0"/>
        <v>HHB M14X1.5X150  PPL-10.9</v>
      </c>
      <c r="V32" s="150">
        <v>46167</v>
      </c>
    </row>
    <row r="33" spans="2:22" hidden="1">
      <c r="B33" s="138">
        <v>31</v>
      </c>
      <c r="C33" s="151" t="s">
        <v>1009</v>
      </c>
      <c r="D33" s="152" t="s">
        <v>1045</v>
      </c>
      <c r="E33" s="152">
        <v>245252603006</v>
      </c>
      <c r="F33" s="153">
        <v>46099</v>
      </c>
      <c r="G33" s="154" t="s">
        <v>1011</v>
      </c>
      <c r="H33" s="151" t="s">
        <v>1052</v>
      </c>
      <c r="I33" s="151" t="s">
        <v>1020</v>
      </c>
      <c r="J33" s="151" t="s">
        <v>1031</v>
      </c>
      <c r="K33" s="151">
        <v>22</v>
      </c>
      <c r="L33" s="151">
        <v>2</v>
      </c>
      <c r="M33" s="151">
        <v>75</v>
      </c>
      <c r="N33" s="151" t="s">
        <v>214</v>
      </c>
      <c r="O33" s="151">
        <v>200</v>
      </c>
      <c r="P33" s="167"/>
      <c r="Q33" s="151">
        <v>200</v>
      </c>
      <c r="R33" s="156">
        <v>39.56</v>
      </c>
      <c r="S33" s="156">
        <v>3560.4</v>
      </c>
      <c r="T33" s="151" t="s">
        <v>1015</v>
      </c>
      <c r="U33" s="42" t="str">
        <f t="shared" si="0"/>
        <v>HHS M14X2X75  PPL-10.9</v>
      </c>
      <c r="V33" s="150">
        <v>46167</v>
      </c>
    </row>
    <row r="34" spans="2:22" hidden="1">
      <c r="B34" s="138">
        <v>32</v>
      </c>
      <c r="C34" s="158" t="s">
        <v>1009</v>
      </c>
      <c r="D34" s="159" t="s">
        <v>1045</v>
      </c>
      <c r="E34" s="159">
        <v>245252603006</v>
      </c>
      <c r="F34" s="160">
        <v>46099</v>
      </c>
      <c r="G34" s="161" t="s">
        <v>1011</v>
      </c>
      <c r="H34" s="158" t="s">
        <v>222</v>
      </c>
      <c r="I34" s="158" t="s">
        <v>1020</v>
      </c>
      <c r="J34" s="158" t="s">
        <v>1032</v>
      </c>
      <c r="K34" s="158">
        <v>24</v>
      </c>
      <c r="L34" s="158">
        <v>2</v>
      </c>
      <c r="M34" s="158">
        <v>50</v>
      </c>
      <c r="N34" s="158" t="s">
        <v>214</v>
      </c>
      <c r="O34" s="158">
        <v>400</v>
      </c>
      <c r="P34" s="166"/>
      <c r="Q34" s="158">
        <v>400</v>
      </c>
      <c r="R34" s="163">
        <v>37.159999999999997</v>
      </c>
      <c r="S34" s="163">
        <v>6688.7999999999993</v>
      </c>
      <c r="T34" s="158" t="s">
        <v>1015</v>
      </c>
      <c r="U34" s="42" t="str">
        <f t="shared" si="0"/>
        <v>HHS M16X2X50  PPL-10.9</v>
      </c>
      <c r="V34" s="150"/>
    </row>
    <row r="35" spans="2:22">
      <c r="B35" s="138">
        <v>33</v>
      </c>
      <c r="C35" s="144" t="s">
        <v>1009</v>
      </c>
      <c r="D35" s="168" t="s">
        <v>1053</v>
      </c>
      <c r="E35" s="145">
        <v>245252603010</v>
      </c>
      <c r="F35" s="169">
        <v>46112</v>
      </c>
      <c r="G35" s="164" t="s">
        <v>1054</v>
      </c>
      <c r="H35" s="164" t="s">
        <v>137</v>
      </c>
      <c r="I35" s="164" t="s">
        <v>1013</v>
      </c>
      <c r="J35" s="164" t="s">
        <v>1055</v>
      </c>
      <c r="K35" s="164">
        <v>19</v>
      </c>
      <c r="L35" s="164">
        <v>1.75</v>
      </c>
      <c r="M35" s="164">
        <v>35</v>
      </c>
      <c r="N35" s="164" t="s">
        <v>214</v>
      </c>
      <c r="O35" s="164">
        <v>20000</v>
      </c>
      <c r="P35" s="164"/>
      <c r="Q35" s="144">
        <v>20000</v>
      </c>
      <c r="R35" s="149">
        <v>5.25</v>
      </c>
      <c r="S35" s="149">
        <v>105000</v>
      </c>
      <c r="T35" s="144" t="s">
        <v>1015</v>
      </c>
      <c r="U35" s="42" t="str">
        <f t="shared" si="0"/>
        <v>HHB M12(19A/F)X1.75X35  PPL-10.9</v>
      </c>
      <c r="V35" s="150"/>
    </row>
    <row r="36" spans="2:22" hidden="1">
      <c r="B36" s="138">
        <v>34</v>
      </c>
      <c r="C36" s="138" t="s">
        <v>1009</v>
      </c>
      <c r="D36" s="139" t="s">
        <v>1056</v>
      </c>
      <c r="E36" s="139">
        <v>245252603010</v>
      </c>
      <c r="F36" s="140">
        <v>46104</v>
      </c>
      <c r="G36" s="141" t="s">
        <v>1054</v>
      </c>
      <c r="H36" s="138" t="s">
        <v>463</v>
      </c>
      <c r="I36" s="138" t="s">
        <v>1013</v>
      </c>
      <c r="J36" s="138" t="s">
        <v>1021</v>
      </c>
      <c r="K36" s="138">
        <v>19</v>
      </c>
      <c r="L36" s="138">
        <v>1.5</v>
      </c>
      <c r="M36" s="138">
        <v>65</v>
      </c>
      <c r="N36" s="138" t="s">
        <v>214</v>
      </c>
      <c r="O36" s="138">
        <v>640</v>
      </c>
      <c r="P36" s="165"/>
      <c r="Q36" s="138">
        <v>640</v>
      </c>
      <c r="R36" s="138">
        <v>25.01</v>
      </c>
      <c r="S36" s="142">
        <v>7202.880000000001</v>
      </c>
      <c r="T36" s="138" t="s">
        <v>1015</v>
      </c>
      <c r="U36" s="42" t="str">
        <f t="shared" si="0"/>
        <v>HHB M12X1.5X65  PPL-10.9</v>
      </c>
      <c r="V36" s="150">
        <v>46160</v>
      </c>
    </row>
    <row r="37" spans="2:22" hidden="1">
      <c r="B37" s="138">
        <v>35</v>
      </c>
      <c r="C37" s="138" t="s">
        <v>1009</v>
      </c>
      <c r="D37" s="139" t="s">
        <v>1056</v>
      </c>
      <c r="E37" s="139">
        <v>245252603010</v>
      </c>
      <c r="F37" s="140">
        <v>46104</v>
      </c>
      <c r="G37" s="141" t="s">
        <v>1054</v>
      </c>
      <c r="H37" s="138" t="s">
        <v>459</v>
      </c>
      <c r="I37" s="138" t="s">
        <v>1020</v>
      </c>
      <c r="J37" s="138" t="s">
        <v>1021</v>
      </c>
      <c r="K37" s="138">
        <v>19</v>
      </c>
      <c r="L37" s="138">
        <v>1.75</v>
      </c>
      <c r="M37" s="138">
        <v>20</v>
      </c>
      <c r="N37" s="138" t="s">
        <v>214</v>
      </c>
      <c r="O37" s="138">
        <v>400</v>
      </c>
      <c r="P37" s="165"/>
      <c r="Q37" s="138">
        <v>400</v>
      </c>
      <c r="R37" s="138">
        <v>11.61</v>
      </c>
      <c r="S37" s="142">
        <v>2089.8000000000002</v>
      </c>
      <c r="T37" s="138" t="s">
        <v>1015</v>
      </c>
      <c r="U37" s="42" t="str">
        <f t="shared" si="0"/>
        <v>HHS M12X1.75X20  PPL-10.9</v>
      </c>
      <c r="V37" s="150">
        <v>46160</v>
      </c>
    </row>
    <row r="38" spans="2:22">
      <c r="B38" s="138">
        <v>36</v>
      </c>
      <c r="C38" s="151" t="s">
        <v>1009</v>
      </c>
      <c r="D38" s="152" t="s">
        <v>1056</v>
      </c>
      <c r="E38" s="152">
        <v>245252603010</v>
      </c>
      <c r="F38" s="153">
        <v>46104</v>
      </c>
      <c r="G38" s="154" t="s">
        <v>1054</v>
      </c>
      <c r="H38" s="151" t="s">
        <v>149</v>
      </c>
      <c r="I38" s="151" t="s">
        <v>1020</v>
      </c>
      <c r="J38" s="151" t="s">
        <v>1021</v>
      </c>
      <c r="K38" s="151">
        <v>19</v>
      </c>
      <c r="L38" s="151">
        <v>1.75</v>
      </c>
      <c r="M38" s="151">
        <v>30</v>
      </c>
      <c r="N38" s="151" t="s">
        <v>214</v>
      </c>
      <c r="O38" s="151">
        <v>1200</v>
      </c>
      <c r="P38" s="167"/>
      <c r="Q38" s="151">
        <v>1200</v>
      </c>
      <c r="R38" s="151">
        <v>14.43</v>
      </c>
      <c r="S38" s="156">
        <v>7792.2</v>
      </c>
      <c r="T38" s="151" t="s">
        <v>1015</v>
      </c>
      <c r="U38" s="42" t="str">
        <f t="shared" si="0"/>
        <v>HHS M12X1.75X30  PPL-10.9</v>
      </c>
      <c r="V38" s="150"/>
    </row>
    <row r="39" spans="2:22" hidden="1">
      <c r="B39" s="138">
        <v>37</v>
      </c>
      <c r="C39" s="138" t="s">
        <v>1009</v>
      </c>
      <c r="D39" s="139" t="s">
        <v>1056</v>
      </c>
      <c r="E39" s="139">
        <v>245252603010</v>
      </c>
      <c r="F39" s="140">
        <v>46104</v>
      </c>
      <c r="G39" s="141" t="s">
        <v>1054</v>
      </c>
      <c r="H39" s="138" t="s">
        <v>1057</v>
      </c>
      <c r="I39" s="138" t="s">
        <v>1013</v>
      </c>
      <c r="J39" s="138" t="s">
        <v>1021</v>
      </c>
      <c r="K39" s="138">
        <v>19</v>
      </c>
      <c r="L39" s="138">
        <v>1.75</v>
      </c>
      <c r="M39" s="138">
        <v>85</v>
      </c>
      <c r="N39" s="138" t="s">
        <v>214</v>
      </c>
      <c r="O39" s="138">
        <v>120</v>
      </c>
      <c r="P39" s="165"/>
      <c r="Q39" s="138">
        <v>120</v>
      </c>
      <c r="R39" s="138">
        <v>31.11</v>
      </c>
      <c r="S39" s="142">
        <v>1679.94</v>
      </c>
      <c r="T39" s="138" t="s">
        <v>1015</v>
      </c>
      <c r="U39" s="42" t="str">
        <f t="shared" si="0"/>
        <v>HHB M12X1.75X85  PPL-10.9</v>
      </c>
      <c r="V39" s="150">
        <v>46160</v>
      </c>
    </row>
    <row r="40" spans="2:22" hidden="1">
      <c r="B40" s="138">
        <v>38</v>
      </c>
      <c r="C40" s="138" t="s">
        <v>1009</v>
      </c>
      <c r="D40" s="139" t="s">
        <v>1056</v>
      </c>
      <c r="E40" s="139">
        <v>245252603010</v>
      </c>
      <c r="F40" s="140">
        <v>46104</v>
      </c>
      <c r="G40" s="141" t="s">
        <v>1054</v>
      </c>
      <c r="H40" s="138" t="s">
        <v>169</v>
      </c>
      <c r="I40" s="138" t="s">
        <v>1013</v>
      </c>
      <c r="J40" s="138" t="s">
        <v>1031</v>
      </c>
      <c r="K40" s="138">
        <v>22</v>
      </c>
      <c r="L40" s="138">
        <v>1.5</v>
      </c>
      <c r="M40" s="138">
        <v>55</v>
      </c>
      <c r="N40" s="138" t="s">
        <v>214</v>
      </c>
      <c r="O40" s="138">
        <v>960</v>
      </c>
      <c r="P40" s="165"/>
      <c r="Q40" s="138">
        <v>960</v>
      </c>
      <c r="R40" s="138">
        <v>30.8</v>
      </c>
      <c r="S40" s="142">
        <v>13305.6</v>
      </c>
      <c r="T40" s="138" t="s">
        <v>1015</v>
      </c>
      <c r="U40" s="42" t="str">
        <f t="shared" si="0"/>
        <v>HHB M14X1.5X55  PPL-10.9</v>
      </c>
      <c r="V40" s="150">
        <v>46167</v>
      </c>
    </row>
    <row r="41" spans="2:22" hidden="1">
      <c r="B41" s="138">
        <v>39</v>
      </c>
      <c r="C41" s="138" t="s">
        <v>1009</v>
      </c>
      <c r="D41" s="139" t="s">
        <v>1056</v>
      </c>
      <c r="E41" s="139">
        <v>245252603010</v>
      </c>
      <c r="F41" s="140">
        <v>46104</v>
      </c>
      <c r="G41" s="141" t="s">
        <v>1054</v>
      </c>
      <c r="H41" s="138" t="s">
        <v>189</v>
      </c>
      <c r="I41" s="138" t="s">
        <v>1013</v>
      </c>
      <c r="J41" s="138" t="s">
        <v>1032</v>
      </c>
      <c r="K41" s="138">
        <v>24</v>
      </c>
      <c r="L41" s="138">
        <v>1.5</v>
      </c>
      <c r="M41" s="138">
        <v>55</v>
      </c>
      <c r="N41" s="138" t="s">
        <v>214</v>
      </c>
      <c r="O41" s="138">
        <v>200</v>
      </c>
      <c r="P41" s="165"/>
      <c r="Q41" s="138">
        <v>200</v>
      </c>
      <c r="R41" s="138">
        <v>40.85</v>
      </c>
      <c r="S41" s="142">
        <v>3676.5</v>
      </c>
      <c r="T41" s="138" t="s">
        <v>1015</v>
      </c>
      <c r="U41" s="42" t="str">
        <f t="shared" si="0"/>
        <v>HHB M16X1.5X55  PPL-10.9</v>
      </c>
      <c r="V41" s="150">
        <v>46152</v>
      </c>
    </row>
    <row r="42" spans="2:22" hidden="1">
      <c r="B42" s="138">
        <v>40</v>
      </c>
      <c r="C42" s="138" t="s">
        <v>1009</v>
      </c>
      <c r="D42" s="139" t="s">
        <v>1056</v>
      </c>
      <c r="E42" s="139">
        <v>245252603010</v>
      </c>
      <c r="F42" s="140">
        <v>46104</v>
      </c>
      <c r="G42" s="141" t="s">
        <v>1054</v>
      </c>
      <c r="H42" s="138" t="s">
        <v>1058</v>
      </c>
      <c r="I42" s="138" t="s">
        <v>1013</v>
      </c>
      <c r="J42" s="170" t="s">
        <v>1059</v>
      </c>
      <c r="K42" s="138" t="s">
        <v>1060</v>
      </c>
      <c r="L42" s="138" t="s">
        <v>1061</v>
      </c>
      <c r="M42" s="171">
        <v>1.5</v>
      </c>
      <c r="N42" s="138" t="s">
        <v>210</v>
      </c>
      <c r="O42" s="138">
        <v>1600</v>
      </c>
      <c r="P42" s="165"/>
      <c r="Q42" s="138">
        <v>1600</v>
      </c>
      <c r="R42" s="138">
        <v>10.050000000000001</v>
      </c>
      <c r="S42" s="142">
        <v>7236.0000000000009</v>
      </c>
      <c r="T42" s="138" t="s">
        <v>1015</v>
      </c>
      <c r="U42" s="42" t="str">
        <f t="shared" si="0"/>
        <v>HHB 3/8XUNCX1.5  PPL-8.8</v>
      </c>
      <c r="V42" s="150">
        <v>46152</v>
      </c>
    </row>
    <row r="43" spans="2:22" hidden="1">
      <c r="B43" s="138">
        <v>41</v>
      </c>
      <c r="C43" s="138" t="s">
        <v>1009</v>
      </c>
      <c r="D43" s="139" t="s">
        <v>1056</v>
      </c>
      <c r="E43" s="139">
        <v>245252603010</v>
      </c>
      <c r="F43" s="140">
        <v>46104</v>
      </c>
      <c r="G43" s="141" t="s">
        <v>1054</v>
      </c>
      <c r="H43" s="138" t="s">
        <v>1062</v>
      </c>
      <c r="I43" s="138" t="s">
        <v>1020</v>
      </c>
      <c r="J43" s="170" t="s">
        <v>1059</v>
      </c>
      <c r="K43" s="138" t="s">
        <v>1060</v>
      </c>
      <c r="L43" s="138" t="s">
        <v>1061</v>
      </c>
      <c r="M43" s="171">
        <v>1.5</v>
      </c>
      <c r="N43" s="138" t="s">
        <v>210</v>
      </c>
      <c r="O43" s="138">
        <v>800</v>
      </c>
      <c r="P43" s="165"/>
      <c r="Q43" s="138">
        <v>800</v>
      </c>
      <c r="R43" s="138">
        <v>10.050000000000001</v>
      </c>
      <c r="S43" s="142">
        <v>3618.0000000000005</v>
      </c>
      <c r="T43" s="138" t="s">
        <v>1015</v>
      </c>
      <c r="U43" s="42" t="str">
        <f t="shared" si="0"/>
        <v>HHS 3/8XUNCX1.5  PPL-8.8</v>
      </c>
      <c r="V43" s="150">
        <v>46152</v>
      </c>
    </row>
    <row r="44" spans="2:22" hidden="1">
      <c r="B44" s="138">
        <v>42</v>
      </c>
      <c r="C44" s="151" t="s">
        <v>1009</v>
      </c>
      <c r="D44" s="152" t="s">
        <v>1056</v>
      </c>
      <c r="E44" s="152">
        <v>245252603010</v>
      </c>
      <c r="F44" s="153">
        <v>46104</v>
      </c>
      <c r="G44" s="154" t="s">
        <v>1054</v>
      </c>
      <c r="H44" s="151" t="s">
        <v>1063</v>
      </c>
      <c r="I44" s="151" t="s">
        <v>1013</v>
      </c>
      <c r="J44" s="172" t="s">
        <v>1059</v>
      </c>
      <c r="K44" s="151" t="s">
        <v>1060</v>
      </c>
      <c r="L44" s="151" t="s">
        <v>1064</v>
      </c>
      <c r="M44" s="173">
        <v>1.5</v>
      </c>
      <c r="N44" s="151" t="s">
        <v>210</v>
      </c>
      <c r="O44" s="151">
        <v>600</v>
      </c>
      <c r="P44" s="167"/>
      <c r="Q44" s="151">
        <v>600</v>
      </c>
      <c r="R44" s="151">
        <v>10.050000000000001</v>
      </c>
      <c r="S44" s="156">
        <v>2713.5</v>
      </c>
      <c r="T44" s="151" t="s">
        <v>1015</v>
      </c>
      <c r="U44" s="42" t="str">
        <f t="shared" si="0"/>
        <v>HHB 3/8XUNFX1.5  PPL-8.8</v>
      </c>
      <c r="V44" s="150">
        <v>46152</v>
      </c>
    </row>
    <row r="45" spans="2:22" hidden="1">
      <c r="B45" s="138">
        <v>43</v>
      </c>
      <c r="C45" s="144" t="s">
        <v>1009</v>
      </c>
      <c r="D45" s="145" t="s">
        <v>1065</v>
      </c>
      <c r="E45" s="145">
        <v>245252603018</v>
      </c>
      <c r="F45" s="146">
        <v>46112</v>
      </c>
      <c r="G45" s="147" t="s">
        <v>1054</v>
      </c>
      <c r="H45" s="144" t="s">
        <v>1066</v>
      </c>
      <c r="I45" s="144" t="s">
        <v>1013</v>
      </c>
      <c r="J45" s="144" t="s">
        <v>1028</v>
      </c>
      <c r="K45" s="144">
        <v>13</v>
      </c>
      <c r="L45" s="144">
        <v>1.25</v>
      </c>
      <c r="M45" s="144">
        <v>80</v>
      </c>
      <c r="N45" s="144" t="s">
        <v>214</v>
      </c>
      <c r="O45" s="144">
        <v>600</v>
      </c>
      <c r="P45" s="164"/>
      <c r="Q45" s="144">
        <v>600</v>
      </c>
      <c r="R45" s="149">
        <v>12.05</v>
      </c>
      <c r="S45" s="149">
        <v>3253.5</v>
      </c>
      <c r="T45" s="144" t="s">
        <v>1015</v>
      </c>
      <c r="U45" s="42" t="str">
        <f t="shared" si="0"/>
        <v>HHB M8X1.25X80  PPL-10.9</v>
      </c>
      <c r="V45" s="150">
        <v>45787</v>
      </c>
    </row>
    <row r="46" spans="2:22" hidden="1">
      <c r="B46" s="138">
        <v>44</v>
      </c>
      <c r="C46" s="138" t="s">
        <v>1009</v>
      </c>
      <c r="D46" s="139" t="s">
        <v>1065</v>
      </c>
      <c r="E46" s="139">
        <v>245252603018</v>
      </c>
      <c r="F46" s="140">
        <v>46112</v>
      </c>
      <c r="G46" s="141" t="s">
        <v>1054</v>
      </c>
      <c r="H46" s="138" t="s">
        <v>1012</v>
      </c>
      <c r="I46" s="138" t="s">
        <v>1013</v>
      </c>
      <c r="J46" s="138" t="s">
        <v>1014</v>
      </c>
      <c r="K46" s="138">
        <v>17</v>
      </c>
      <c r="L46" s="138">
        <v>1.5</v>
      </c>
      <c r="M46" s="138">
        <v>30</v>
      </c>
      <c r="N46" s="138" t="s">
        <v>214</v>
      </c>
      <c r="O46" s="138">
        <v>8000</v>
      </c>
      <c r="P46" s="165"/>
      <c r="Q46" s="138">
        <v>8000</v>
      </c>
      <c r="R46" s="142">
        <v>7.74</v>
      </c>
      <c r="S46" s="142">
        <v>27864</v>
      </c>
      <c r="T46" s="138" t="s">
        <v>1015</v>
      </c>
      <c r="U46" s="42" t="str">
        <f t="shared" si="0"/>
        <v>HHB M10X1.5X30  PPL-10.9</v>
      </c>
      <c r="V46" s="108">
        <v>45787</v>
      </c>
    </row>
    <row r="47" spans="2:22" hidden="1">
      <c r="B47" s="138">
        <v>45</v>
      </c>
      <c r="C47" s="138" t="s">
        <v>1009</v>
      </c>
      <c r="D47" s="139" t="s">
        <v>1065</v>
      </c>
      <c r="E47" s="139">
        <v>245252603018</v>
      </c>
      <c r="F47" s="140">
        <v>46112</v>
      </c>
      <c r="G47" s="141" t="s">
        <v>1054</v>
      </c>
      <c r="H47" s="138" t="s">
        <v>1042</v>
      </c>
      <c r="I47" s="138" t="s">
        <v>1013</v>
      </c>
      <c r="J47" s="138" t="s">
        <v>1014</v>
      </c>
      <c r="K47" s="138">
        <v>17</v>
      </c>
      <c r="L47" s="138">
        <v>1.5</v>
      </c>
      <c r="M47" s="138">
        <v>90</v>
      </c>
      <c r="N47" s="138" t="s">
        <v>214</v>
      </c>
      <c r="O47" s="138">
        <v>1600</v>
      </c>
      <c r="P47" s="165"/>
      <c r="Q47" s="138">
        <v>1600</v>
      </c>
      <c r="R47" s="142">
        <v>22.3</v>
      </c>
      <c r="S47" s="142">
        <v>16056</v>
      </c>
      <c r="T47" s="138" t="s">
        <v>1015</v>
      </c>
      <c r="U47" s="42" t="str">
        <f t="shared" si="0"/>
        <v>HHB M10X1.5X90  PPL-10.9</v>
      </c>
      <c r="V47" s="108">
        <v>46160</v>
      </c>
    </row>
    <row r="48" spans="2:22" hidden="1">
      <c r="B48" s="138">
        <v>46</v>
      </c>
      <c r="C48" s="138" t="s">
        <v>1009</v>
      </c>
      <c r="D48" s="139" t="s">
        <v>1065</v>
      </c>
      <c r="E48" s="139">
        <v>245252603018</v>
      </c>
      <c r="F48" s="140">
        <v>46112</v>
      </c>
      <c r="G48" s="141" t="s">
        <v>1054</v>
      </c>
      <c r="H48" s="138" t="s">
        <v>1067</v>
      </c>
      <c r="I48" s="138" t="s">
        <v>1013</v>
      </c>
      <c r="J48" s="138" t="s">
        <v>1014</v>
      </c>
      <c r="K48" s="138">
        <v>17</v>
      </c>
      <c r="L48" s="138">
        <v>1.5</v>
      </c>
      <c r="M48" s="138">
        <v>140</v>
      </c>
      <c r="N48" s="138" t="s">
        <v>214</v>
      </c>
      <c r="O48" s="138">
        <v>600</v>
      </c>
      <c r="P48" s="165"/>
      <c r="Q48" s="138">
        <v>600</v>
      </c>
      <c r="R48" s="142">
        <v>33.03</v>
      </c>
      <c r="S48" s="142">
        <v>8918.1</v>
      </c>
      <c r="T48" s="138" t="s">
        <v>1015</v>
      </c>
      <c r="U48" s="42" t="str">
        <f t="shared" si="0"/>
        <v>HHB M10X1.5X140  PPL-10.9</v>
      </c>
      <c r="V48" s="108">
        <v>46160</v>
      </c>
    </row>
    <row r="49" spans="2:22" hidden="1">
      <c r="B49" s="138">
        <v>47</v>
      </c>
      <c r="C49" s="138" t="s">
        <v>1009</v>
      </c>
      <c r="D49" s="139" t="s">
        <v>1065</v>
      </c>
      <c r="E49" s="139">
        <v>245252603018</v>
      </c>
      <c r="F49" s="140">
        <v>46112</v>
      </c>
      <c r="G49" s="141" t="s">
        <v>1054</v>
      </c>
      <c r="H49" s="138" t="s">
        <v>247</v>
      </c>
      <c r="I49" s="138" t="s">
        <v>1013</v>
      </c>
      <c r="J49" s="138" t="s">
        <v>1032</v>
      </c>
      <c r="K49" s="138">
        <v>24</v>
      </c>
      <c r="L49" s="138">
        <v>2</v>
      </c>
      <c r="M49" s="138">
        <v>90</v>
      </c>
      <c r="N49" s="138" t="s">
        <v>214</v>
      </c>
      <c r="O49" s="138">
        <v>120</v>
      </c>
      <c r="P49" s="165"/>
      <c r="Q49" s="138">
        <v>120</v>
      </c>
      <c r="R49" s="142">
        <v>59.73</v>
      </c>
      <c r="S49" s="142">
        <v>3225.4199999999996</v>
      </c>
      <c r="T49" s="138" t="s">
        <v>1015</v>
      </c>
      <c r="U49" s="42" t="str">
        <f t="shared" si="0"/>
        <v>HHB M16X2X90  PPL-10.9</v>
      </c>
      <c r="V49" s="150">
        <v>46152</v>
      </c>
    </row>
    <row r="50" spans="2:22" hidden="1">
      <c r="B50" s="138">
        <v>48</v>
      </c>
      <c r="C50" s="138" t="s">
        <v>1009</v>
      </c>
      <c r="D50" s="139" t="s">
        <v>1065</v>
      </c>
      <c r="E50" s="139">
        <v>245252603018</v>
      </c>
      <c r="F50" s="140">
        <v>46112</v>
      </c>
      <c r="G50" s="141" t="s">
        <v>1054</v>
      </c>
      <c r="H50" s="138" t="s">
        <v>1068</v>
      </c>
      <c r="I50" s="138" t="s">
        <v>1013</v>
      </c>
      <c r="J50" s="138" t="s">
        <v>1032</v>
      </c>
      <c r="K50" s="138">
        <v>24</v>
      </c>
      <c r="L50" s="138">
        <v>2</v>
      </c>
      <c r="M50" s="138">
        <v>100</v>
      </c>
      <c r="N50" s="138" t="s">
        <v>214</v>
      </c>
      <c r="O50" s="138">
        <v>120</v>
      </c>
      <c r="P50" s="165"/>
      <c r="Q50" s="138">
        <v>120</v>
      </c>
      <c r="R50" s="142">
        <v>65.03</v>
      </c>
      <c r="S50" s="142">
        <v>3511.6200000000003</v>
      </c>
      <c r="T50" s="138" t="s">
        <v>1015</v>
      </c>
      <c r="U50" s="42" t="str">
        <f t="shared" si="0"/>
        <v>HHB M16X2X100  PPL-10.9</v>
      </c>
      <c r="V50" s="150">
        <v>46152</v>
      </c>
    </row>
    <row r="51" spans="2:22" hidden="1">
      <c r="B51" s="138">
        <v>49</v>
      </c>
      <c r="C51" s="138" t="s">
        <v>1009</v>
      </c>
      <c r="D51" s="139" t="s">
        <v>1065</v>
      </c>
      <c r="E51" s="139">
        <v>245252603018</v>
      </c>
      <c r="F51" s="140">
        <v>46112</v>
      </c>
      <c r="G51" s="141" t="s">
        <v>1054</v>
      </c>
      <c r="H51" s="138" t="s">
        <v>1069</v>
      </c>
      <c r="I51" s="138" t="s">
        <v>1013</v>
      </c>
      <c r="J51" s="138" t="s">
        <v>1034</v>
      </c>
      <c r="K51" s="138">
        <v>27</v>
      </c>
      <c r="L51" s="138">
        <v>2.5</v>
      </c>
      <c r="M51" s="138">
        <v>55</v>
      </c>
      <c r="N51" s="138" t="s">
        <v>214</v>
      </c>
      <c r="O51" s="138">
        <v>160</v>
      </c>
      <c r="P51" s="165"/>
      <c r="Q51" s="138">
        <v>160</v>
      </c>
      <c r="R51" s="142">
        <v>51.18</v>
      </c>
      <c r="S51" s="142">
        <v>3684.96</v>
      </c>
      <c r="T51" s="138" t="s">
        <v>1015</v>
      </c>
      <c r="U51" s="42" t="str">
        <f t="shared" si="0"/>
        <v>HHB M18X2.5X55  PPL-10.9</v>
      </c>
      <c r="V51" s="143" t="s">
        <v>1035</v>
      </c>
    </row>
    <row r="52" spans="2:22" hidden="1">
      <c r="B52" s="138">
        <v>50</v>
      </c>
      <c r="C52" s="138" t="s">
        <v>1009</v>
      </c>
      <c r="D52" s="139" t="s">
        <v>1065</v>
      </c>
      <c r="E52" s="139">
        <v>245252603018</v>
      </c>
      <c r="F52" s="140">
        <v>46112</v>
      </c>
      <c r="G52" s="141" t="s">
        <v>1054</v>
      </c>
      <c r="H52" s="138" t="s">
        <v>1070</v>
      </c>
      <c r="I52" s="138" t="s">
        <v>1013</v>
      </c>
      <c r="J52" s="138" t="s">
        <v>1034</v>
      </c>
      <c r="K52" s="138">
        <v>27</v>
      </c>
      <c r="L52" s="138">
        <v>2.5</v>
      </c>
      <c r="M52" s="138">
        <v>90</v>
      </c>
      <c r="N52" s="138" t="s">
        <v>214</v>
      </c>
      <c r="O52" s="138">
        <v>80</v>
      </c>
      <c r="P52" s="165"/>
      <c r="Q52" s="138">
        <v>80</v>
      </c>
      <c r="R52" s="142">
        <v>73.39</v>
      </c>
      <c r="S52" s="142">
        <v>2642.04</v>
      </c>
      <c r="T52" s="138" t="s">
        <v>1015</v>
      </c>
      <c r="U52" s="42" t="str">
        <f t="shared" si="0"/>
        <v>HHB M18X2.5X90  PPL-10.9</v>
      </c>
      <c r="V52" s="143" t="s">
        <v>1035</v>
      </c>
    </row>
    <row r="53" spans="2:22" hidden="1">
      <c r="B53" s="138">
        <v>51</v>
      </c>
      <c r="C53" s="138" t="s">
        <v>1009</v>
      </c>
      <c r="D53" s="139" t="s">
        <v>1065</v>
      </c>
      <c r="E53" s="139">
        <v>245252603018</v>
      </c>
      <c r="F53" s="140">
        <v>46112</v>
      </c>
      <c r="G53" s="141" t="s">
        <v>1054</v>
      </c>
      <c r="H53" s="138" t="s">
        <v>1071</v>
      </c>
      <c r="I53" s="138" t="s">
        <v>1020</v>
      </c>
      <c r="J53" s="138" t="s">
        <v>1072</v>
      </c>
      <c r="K53" s="138">
        <v>30</v>
      </c>
      <c r="L53" s="138">
        <v>2.5</v>
      </c>
      <c r="M53" s="138">
        <v>50</v>
      </c>
      <c r="N53" s="138" t="s">
        <v>214</v>
      </c>
      <c r="O53" s="138">
        <v>360</v>
      </c>
      <c r="P53" s="165"/>
      <c r="Q53" s="138">
        <v>360</v>
      </c>
      <c r="R53" s="142">
        <v>62.68</v>
      </c>
      <c r="S53" s="142">
        <v>10154.16</v>
      </c>
      <c r="T53" s="138" t="s">
        <v>1015</v>
      </c>
      <c r="U53" s="42" t="str">
        <f t="shared" si="0"/>
        <v>HHS M20X2.5X50  PPL-10.9</v>
      </c>
      <c r="V53" s="150">
        <v>46152</v>
      </c>
    </row>
    <row r="54" spans="2:22" hidden="1">
      <c r="B54" s="138">
        <v>52</v>
      </c>
      <c r="C54" s="138" t="s">
        <v>1009</v>
      </c>
      <c r="D54" s="139" t="s">
        <v>1065</v>
      </c>
      <c r="E54" s="139">
        <v>245252603018</v>
      </c>
      <c r="F54" s="140">
        <v>46112</v>
      </c>
      <c r="G54" s="141" t="s">
        <v>1054</v>
      </c>
      <c r="H54" s="138" t="s">
        <v>1073</v>
      </c>
      <c r="I54" s="138" t="s">
        <v>1013</v>
      </c>
      <c r="J54" s="138" t="s">
        <v>1072</v>
      </c>
      <c r="K54" s="138">
        <v>30</v>
      </c>
      <c r="L54" s="138">
        <v>2.5</v>
      </c>
      <c r="M54" s="138">
        <v>170</v>
      </c>
      <c r="N54" s="138" t="s">
        <v>214</v>
      </c>
      <c r="O54" s="138">
        <v>40</v>
      </c>
      <c r="P54" s="165"/>
      <c r="Q54" s="138">
        <v>40</v>
      </c>
      <c r="R54" s="142">
        <v>161.03</v>
      </c>
      <c r="S54" s="142">
        <v>2898.54</v>
      </c>
      <c r="T54" s="138" t="s">
        <v>1015</v>
      </c>
      <c r="U54" s="42" t="str">
        <f t="shared" si="0"/>
        <v>HHB M20X2.5X170  PPL-10.9</v>
      </c>
      <c r="V54" s="143" t="s">
        <v>1074</v>
      </c>
    </row>
    <row r="55" spans="2:22" hidden="1">
      <c r="B55" s="138">
        <v>53</v>
      </c>
      <c r="C55" s="138" t="s">
        <v>1009</v>
      </c>
      <c r="D55" s="139" t="s">
        <v>1065</v>
      </c>
      <c r="E55" s="139">
        <v>245252603018</v>
      </c>
      <c r="F55" s="140">
        <v>46112</v>
      </c>
      <c r="G55" s="141" t="s">
        <v>1054</v>
      </c>
      <c r="H55" s="138" t="s">
        <v>1075</v>
      </c>
      <c r="I55" s="138" t="s">
        <v>1013</v>
      </c>
      <c r="J55" s="138" t="s">
        <v>1072</v>
      </c>
      <c r="K55" s="138">
        <v>30</v>
      </c>
      <c r="L55" s="138">
        <v>2.5</v>
      </c>
      <c r="M55" s="138">
        <v>220</v>
      </c>
      <c r="N55" s="138" t="s">
        <v>214</v>
      </c>
      <c r="O55" s="138">
        <v>150</v>
      </c>
      <c r="P55" s="165"/>
      <c r="Q55" s="138">
        <v>150</v>
      </c>
      <c r="R55" s="142">
        <v>203.7</v>
      </c>
      <c r="S55" s="142">
        <v>13749.75</v>
      </c>
      <c r="T55" s="138" t="s">
        <v>1015</v>
      </c>
      <c r="U55" s="42" t="str">
        <f t="shared" si="0"/>
        <v>HHB M20X2.5X220  PPL-10.9</v>
      </c>
      <c r="V55" s="143" t="s">
        <v>1074</v>
      </c>
    </row>
    <row r="56" spans="2:22" hidden="1">
      <c r="B56" s="138">
        <v>54</v>
      </c>
      <c r="C56" s="138" t="s">
        <v>1009</v>
      </c>
      <c r="D56" s="139" t="s">
        <v>1065</v>
      </c>
      <c r="E56" s="139">
        <v>245252603018</v>
      </c>
      <c r="F56" s="140">
        <v>46112</v>
      </c>
      <c r="G56" s="141" t="s">
        <v>1054</v>
      </c>
      <c r="H56" s="138" t="s">
        <v>1076</v>
      </c>
      <c r="I56" s="138" t="s">
        <v>1013</v>
      </c>
      <c r="J56" s="138" t="s">
        <v>1072</v>
      </c>
      <c r="K56" s="138">
        <v>30</v>
      </c>
      <c r="L56" s="138">
        <v>2.5</v>
      </c>
      <c r="M56" s="138">
        <v>280</v>
      </c>
      <c r="N56" s="138" t="s">
        <v>214</v>
      </c>
      <c r="O56" s="138">
        <v>60</v>
      </c>
      <c r="P56" s="165"/>
      <c r="Q56" s="138">
        <v>60</v>
      </c>
      <c r="R56" s="142">
        <v>249.83</v>
      </c>
      <c r="S56" s="142">
        <v>6745.4100000000008</v>
      </c>
      <c r="T56" s="138" t="s">
        <v>1015</v>
      </c>
      <c r="U56" s="42" t="str">
        <f t="shared" si="0"/>
        <v>HHB M20X2.5X280  PPL-10.9</v>
      </c>
      <c r="V56" s="143" t="s">
        <v>1074</v>
      </c>
    </row>
    <row r="57" spans="2:22" hidden="1">
      <c r="B57" s="138">
        <v>55</v>
      </c>
      <c r="C57" s="138" t="s">
        <v>1009</v>
      </c>
      <c r="D57" s="139" t="s">
        <v>1065</v>
      </c>
      <c r="E57" s="139">
        <v>245252603018</v>
      </c>
      <c r="F57" s="140">
        <v>46112</v>
      </c>
      <c r="G57" s="141" t="s">
        <v>1054</v>
      </c>
      <c r="H57" s="138" t="s">
        <v>1077</v>
      </c>
      <c r="I57" s="138" t="s">
        <v>1013</v>
      </c>
      <c r="J57" s="138" t="s">
        <v>1078</v>
      </c>
      <c r="K57" s="138">
        <v>34</v>
      </c>
      <c r="L57" s="138">
        <v>2.5</v>
      </c>
      <c r="M57" s="138">
        <v>80</v>
      </c>
      <c r="N57" s="138" t="s">
        <v>214</v>
      </c>
      <c r="O57" s="138">
        <v>120</v>
      </c>
      <c r="P57" s="165"/>
      <c r="Q57" s="138">
        <v>120</v>
      </c>
      <c r="R57" s="142">
        <v>125.28</v>
      </c>
      <c r="S57" s="142">
        <v>6765.12</v>
      </c>
      <c r="T57" s="138" t="s">
        <v>1015</v>
      </c>
      <c r="U57" s="42" t="str">
        <f t="shared" si="0"/>
        <v>HHB M22X2.5X80  PPL-10.9</v>
      </c>
      <c r="V57" s="143" t="s">
        <v>1035</v>
      </c>
    </row>
    <row r="58" spans="2:22" hidden="1">
      <c r="B58" s="138">
        <v>56</v>
      </c>
      <c r="C58" s="138" t="s">
        <v>1009</v>
      </c>
      <c r="D58" s="139" t="s">
        <v>1065</v>
      </c>
      <c r="E58" s="139">
        <v>245252603018</v>
      </c>
      <c r="F58" s="140">
        <v>46112</v>
      </c>
      <c r="G58" s="141" t="s">
        <v>1054</v>
      </c>
      <c r="H58" s="138" t="s">
        <v>1079</v>
      </c>
      <c r="I58" s="138" t="s">
        <v>1013</v>
      </c>
      <c r="J58" s="138" t="s">
        <v>1078</v>
      </c>
      <c r="K58" s="138">
        <v>34</v>
      </c>
      <c r="L58" s="138">
        <v>2.5</v>
      </c>
      <c r="M58" s="138">
        <v>100</v>
      </c>
      <c r="N58" s="138" t="s">
        <v>214</v>
      </c>
      <c r="O58" s="138">
        <v>120</v>
      </c>
      <c r="P58" s="165"/>
      <c r="Q58" s="138">
        <v>120</v>
      </c>
      <c r="R58" s="142">
        <v>147.52000000000001</v>
      </c>
      <c r="S58" s="142">
        <v>7966.0800000000008</v>
      </c>
      <c r="T58" s="138" t="s">
        <v>1015</v>
      </c>
      <c r="U58" s="42" t="str">
        <f t="shared" si="0"/>
        <v>HHB M22X2.5X100  PPL-10.9</v>
      </c>
      <c r="V58" s="143" t="s">
        <v>1035</v>
      </c>
    </row>
    <row r="59" spans="2:22" hidden="1">
      <c r="B59" s="138">
        <v>57</v>
      </c>
      <c r="C59" s="138" t="s">
        <v>1009</v>
      </c>
      <c r="D59" s="139" t="s">
        <v>1065</v>
      </c>
      <c r="E59" s="139">
        <v>245252603018</v>
      </c>
      <c r="F59" s="140">
        <v>46112</v>
      </c>
      <c r="G59" s="141" t="s">
        <v>1054</v>
      </c>
      <c r="H59" s="138" t="s">
        <v>1080</v>
      </c>
      <c r="I59" s="138" t="s">
        <v>1013</v>
      </c>
      <c r="J59" s="138" t="s">
        <v>1081</v>
      </c>
      <c r="K59" s="138">
        <v>36</v>
      </c>
      <c r="L59" s="138">
        <v>3</v>
      </c>
      <c r="M59" s="138">
        <v>130</v>
      </c>
      <c r="N59" s="138" t="s">
        <v>214</v>
      </c>
      <c r="O59" s="138">
        <v>40</v>
      </c>
      <c r="P59" s="165"/>
      <c r="Q59" s="138">
        <v>40</v>
      </c>
      <c r="R59" s="142">
        <v>215.88</v>
      </c>
      <c r="S59" s="142">
        <v>3885.8400000000006</v>
      </c>
      <c r="T59" s="138" t="s">
        <v>1015</v>
      </c>
      <c r="U59" s="42" t="str">
        <f t="shared" si="0"/>
        <v>HHB M24X3X130  PPL-10.9</v>
      </c>
      <c r="V59" s="150">
        <v>46152</v>
      </c>
    </row>
    <row r="60" spans="2:22" hidden="1">
      <c r="B60" s="138">
        <v>58</v>
      </c>
      <c r="C60" s="138" t="s">
        <v>1009</v>
      </c>
      <c r="D60" s="139" t="s">
        <v>1065</v>
      </c>
      <c r="E60" s="139">
        <v>245252603018</v>
      </c>
      <c r="F60" s="140">
        <v>46112</v>
      </c>
      <c r="G60" s="141" t="s">
        <v>1054</v>
      </c>
      <c r="H60" s="138" t="s">
        <v>1082</v>
      </c>
      <c r="I60" s="138" t="s">
        <v>1013</v>
      </c>
      <c r="J60" s="138" t="s">
        <v>1081</v>
      </c>
      <c r="K60" s="138">
        <v>36</v>
      </c>
      <c r="L60" s="138">
        <v>3</v>
      </c>
      <c r="M60" s="138">
        <v>160</v>
      </c>
      <c r="N60" s="138" t="s">
        <v>214</v>
      </c>
      <c r="O60" s="138">
        <v>30</v>
      </c>
      <c r="P60" s="165"/>
      <c r="Q60" s="138">
        <v>30</v>
      </c>
      <c r="R60" s="142">
        <v>255.68</v>
      </c>
      <c r="S60" s="142">
        <v>3451.6800000000003</v>
      </c>
      <c r="T60" s="138" t="s">
        <v>1015</v>
      </c>
      <c r="U60" s="42" t="str">
        <f t="shared" si="0"/>
        <v>HHB M24X3X160  PPL-10.9</v>
      </c>
      <c r="V60" s="150">
        <v>46152</v>
      </c>
    </row>
    <row r="61" spans="2:22" hidden="1">
      <c r="B61" s="138">
        <v>59</v>
      </c>
      <c r="C61" s="138" t="s">
        <v>1009</v>
      </c>
      <c r="D61" s="139" t="s">
        <v>1065</v>
      </c>
      <c r="E61" s="139">
        <v>245252603018</v>
      </c>
      <c r="F61" s="140">
        <v>46112</v>
      </c>
      <c r="G61" s="141" t="s">
        <v>1054</v>
      </c>
      <c r="H61" s="138" t="s">
        <v>1083</v>
      </c>
      <c r="I61" s="138" t="s">
        <v>1013</v>
      </c>
      <c r="J61" s="138" t="s">
        <v>1081</v>
      </c>
      <c r="K61" s="138">
        <v>36</v>
      </c>
      <c r="L61" s="138">
        <v>3</v>
      </c>
      <c r="M61" s="138">
        <v>220</v>
      </c>
      <c r="N61" s="138" t="s">
        <v>214</v>
      </c>
      <c r="O61" s="138">
        <v>100</v>
      </c>
      <c r="P61" s="165"/>
      <c r="Q61" s="138">
        <v>100</v>
      </c>
      <c r="R61" s="142">
        <v>332.73</v>
      </c>
      <c r="S61" s="142">
        <v>14972.85</v>
      </c>
      <c r="T61" s="138" t="s">
        <v>1015</v>
      </c>
      <c r="U61" s="42" t="str">
        <f t="shared" si="0"/>
        <v>HHB M24X3X220  PPL-10.9</v>
      </c>
      <c r="V61" s="150">
        <v>46152</v>
      </c>
    </row>
    <row r="62" spans="2:22" hidden="1">
      <c r="B62" s="138">
        <v>60</v>
      </c>
      <c r="C62" s="138" t="s">
        <v>1009</v>
      </c>
      <c r="D62" s="139" t="s">
        <v>1065</v>
      </c>
      <c r="E62" s="139">
        <v>245252603018</v>
      </c>
      <c r="F62" s="140">
        <v>46112</v>
      </c>
      <c r="G62" s="141" t="s">
        <v>1054</v>
      </c>
      <c r="H62" s="138" t="s">
        <v>1084</v>
      </c>
      <c r="I62" s="138" t="s">
        <v>1013</v>
      </c>
      <c r="J62" s="138" t="s">
        <v>1085</v>
      </c>
      <c r="K62" s="138">
        <v>41</v>
      </c>
      <c r="L62" s="138">
        <v>3</v>
      </c>
      <c r="M62" s="138">
        <v>200</v>
      </c>
      <c r="N62" s="138" t="s">
        <v>214</v>
      </c>
      <c r="O62" s="138">
        <v>25</v>
      </c>
      <c r="P62" s="165"/>
      <c r="Q62" s="138">
        <v>25</v>
      </c>
      <c r="R62" s="142">
        <v>408.04</v>
      </c>
      <c r="S62" s="142">
        <v>4590.45</v>
      </c>
      <c r="T62" s="138" t="s">
        <v>1015</v>
      </c>
      <c r="U62" s="42" t="str">
        <f t="shared" si="0"/>
        <v>HHB M27X3X200  PPL-10.9</v>
      </c>
      <c r="V62" s="143" t="s">
        <v>1086</v>
      </c>
    </row>
    <row r="63" spans="2:22" hidden="1">
      <c r="B63" s="138">
        <v>61</v>
      </c>
      <c r="C63" s="138" t="s">
        <v>1009</v>
      </c>
      <c r="D63" s="139" t="s">
        <v>1065</v>
      </c>
      <c r="E63" s="139">
        <v>245252603018</v>
      </c>
      <c r="F63" s="140">
        <v>46112</v>
      </c>
      <c r="G63" s="141" t="s">
        <v>1054</v>
      </c>
      <c r="H63" s="138" t="s">
        <v>1058</v>
      </c>
      <c r="I63" s="138" t="s">
        <v>1013</v>
      </c>
      <c r="J63" s="138" t="s">
        <v>1059</v>
      </c>
      <c r="K63" s="138" t="s">
        <v>1060</v>
      </c>
      <c r="L63" s="138" t="s">
        <v>1061</v>
      </c>
      <c r="M63" s="138" t="s">
        <v>1087</v>
      </c>
      <c r="N63" s="138" t="s">
        <v>1088</v>
      </c>
      <c r="O63" s="138">
        <v>1600</v>
      </c>
      <c r="P63" s="165"/>
      <c r="Q63" s="138">
        <v>1600</v>
      </c>
      <c r="R63" s="142">
        <v>10.050000000000001</v>
      </c>
      <c r="S63" s="142">
        <v>7236.0000000000009</v>
      </c>
      <c r="T63" s="138" t="s">
        <v>1015</v>
      </c>
      <c r="U63" s="42" t="str">
        <f t="shared" si="0"/>
        <v>HHB 3/8XUNCX1 1/2"  PPL-8</v>
      </c>
      <c r="V63" s="150">
        <v>46152</v>
      </c>
    </row>
    <row r="64" spans="2:22" hidden="1">
      <c r="B64" s="138">
        <v>62</v>
      </c>
      <c r="C64" s="151" t="s">
        <v>1009</v>
      </c>
      <c r="D64" s="152" t="s">
        <v>1065</v>
      </c>
      <c r="E64" s="152">
        <v>245252603018</v>
      </c>
      <c r="F64" s="153">
        <v>46112</v>
      </c>
      <c r="G64" s="154" t="s">
        <v>1054</v>
      </c>
      <c r="H64" s="151" t="s">
        <v>1089</v>
      </c>
      <c r="I64" s="151" t="s">
        <v>1090</v>
      </c>
      <c r="J64" s="151" t="s">
        <v>1026</v>
      </c>
      <c r="K64" s="151" t="s">
        <v>1060</v>
      </c>
      <c r="L64" s="151">
        <v>1</v>
      </c>
      <c r="M64" s="151">
        <v>12</v>
      </c>
      <c r="N64" s="151" t="s">
        <v>210</v>
      </c>
      <c r="O64" s="151">
        <v>3200</v>
      </c>
      <c r="P64" s="167"/>
      <c r="Q64" s="151">
        <v>3200</v>
      </c>
      <c r="R64" s="156">
        <v>2.19</v>
      </c>
      <c r="S64" s="156">
        <v>3153.6</v>
      </c>
      <c r="T64" s="151" t="s">
        <v>1015</v>
      </c>
      <c r="U64" s="42" t="str">
        <f t="shared" si="0"/>
        <v>FS M6X1X12  PPL-8.8</v>
      </c>
      <c r="V64" s="150">
        <v>45787</v>
      </c>
    </row>
    <row r="65" spans="2:22" hidden="1">
      <c r="B65" s="138">
        <v>63</v>
      </c>
      <c r="C65" s="138" t="s">
        <v>1009</v>
      </c>
      <c r="D65" s="139" t="s">
        <v>1065</v>
      </c>
      <c r="E65" s="139">
        <v>245252603018</v>
      </c>
      <c r="F65" s="140">
        <v>46112</v>
      </c>
      <c r="G65" s="141" t="s">
        <v>1054</v>
      </c>
      <c r="H65" s="138" t="s">
        <v>1091</v>
      </c>
      <c r="I65" s="138" t="s">
        <v>1090</v>
      </c>
      <c r="J65" s="138" t="s">
        <v>1028</v>
      </c>
      <c r="K65" s="138" t="s">
        <v>1060</v>
      </c>
      <c r="L65" s="138">
        <v>1.25</v>
      </c>
      <c r="M65" s="138">
        <v>50</v>
      </c>
      <c r="N65" s="138" t="s">
        <v>210</v>
      </c>
      <c r="O65" s="138">
        <v>600</v>
      </c>
      <c r="P65" s="165"/>
      <c r="Q65" s="138">
        <v>600</v>
      </c>
      <c r="R65" s="142">
        <v>8.1300000000000008</v>
      </c>
      <c r="S65" s="142">
        <v>2195.1000000000004</v>
      </c>
      <c r="T65" s="138" t="s">
        <v>1015</v>
      </c>
      <c r="U65" s="42" t="str">
        <f t="shared" si="0"/>
        <v>FS M8X1.25X50  PPL-8.8</v>
      </c>
      <c r="V65" s="150">
        <v>45787</v>
      </c>
    </row>
    <row r="66" spans="2:22" hidden="1">
      <c r="B66" s="138">
        <v>64</v>
      </c>
      <c r="C66" s="138" t="s">
        <v>1009</v>
      </c>
      <c r="D66" s="139" t="s">
        <v>1065</v>
      </c>
      <c r="E66" s="139">
        <v>245252603018</v>
      </c>
      <c r="F66" s="140">
        <v>46112</v>
      </c>
      <c r="G66" s="141" t="s">
        <v>1054</v>
      </c>
      <c r="H66" s="138" t="s">
        <v>1092</v>
      </c>
      <c r="I66" s="138" t="s">
        <v>1090</v>
      </c>
      <c r="J66" s="138" t="s">
        <v>1014</v>
      </c>
      <c r="K66" s="138" t="s">
        <v>1060</v>
      </c>
      <c r="L66" s="138">
        <v>1.5</v>
      </c>
      <c r="M66" s="138">
        <v>40</v>
      </c>
      <c r="N66" s="138" t="s">
        <v>210</v>
      </c>
      <c r="O66" s="138">
        <v>400</v>
      </c>
      <c r="P66" s="165"/>
      <c r="Q66" s="138">
        <v>400</v>
      </c>
      <c r="R66" s="142">
        <v>12.25</v>
      </c>
      <c r="S66" s="142">
        <v>2205</v>
      </c>
      <c r="T66" s="138" t="s">
        <v>1015</v>
      </c>
      <c r="U66" s="42" t="str">
        <f t="shared" si="0"/>
        <v>FS M10X1.5X40  PPL-8.8</v>
      </c>
      <c r="V66" s="26" t="s">
        <v>48</v>
      </c>
    </row>
    <row r="67" spans="2:22" hidden="1">
      <c r="B67" s="138">
        <v>65</v>
      </c>
      <c r="C67" s="138" t="s">
        <v>1009</v>
      </c>
      <c r="D67" s="139" t="s">
        <v>1065</v>
      </c>
      <c r="E67" s="139">
        <v>245252603018</v>
      </c>
      <c r="F67" s="140">
        <v>46112</v>
      </c>
      <c r="G67" s="141" t="s">
        <v>1054</v>
      </c>
      <c r="H67" s="138" t="s">
        <v>1093</v>
      </c>
      <c r="I67" s="138" t="s">
        <v>1090</v>
      </c>
      <c r="J67" s="138" t="s">
        <v>1014</v>
      </c>
      <c r="K67" s="138" t="s">
        <v>1060</v>
      </c>
      <c r="L67" s="138">
        <v>1.5</v>
      </c>
      <c r="M67" s="138">
        <v>25</v>
      </c>
      <c r="N67" s="138" t="s">
        <v>210</v>
      </c>
      <c r="O67" s="138">
        <v>600</v>
      </c>
      <c r="P67" s="165"/>
      <c r="Q67" s="138">
        <v>600</v>
      </c>
      <c r="R67" s="142">
        <v>9.67</v>
      </c>
      <c r="S67" s="142">
        <v>2610.9</v>
      </c>
      <c r="T67" s="138" t="s">
        <v>1015</v>
      </c>
      <c r="U67" s="42" t="str">
        <f t="shared" si="0"/>
        <v>FS M10X1.5X25  PPL-8.8</v>
      </c>
      <c r="V67" s="26" t="s">
        <v>48</v>
      </c>
    </row>
    <row r="68" spans="2:22" hidden="1">
      <c r="B68" s="138">
        <v>66</v>
      </c>
      <c r="C68" s="138" t="s">
        <v>1009</v>
      </c>
      <c r="D68" s="139" t="s">
        <v>1065</v>
      </c>
      <c r="E68" s="139">
        <v>245252603018</v>
      </c>
      <c r="F68" s="140">
        <v>46112</v>
      </c>
      <c r="G68" s="141" t="s">
        <v>1054</v>
      </c>
      <c r="H68" s="138" t="s">
        <v>1094</v>
      </c>
      <c r="I68" s="138" t="s">
        <v>1090</v>
      </c>
      <c r="J68" s="138" t="s">
        <v>1014</v>
      </c>
      <c r="K68" s="138" t="s">
        <v>1060</v>
      </c>
      <c r="L68" s="138">
        <v>1.5</v>
      </c>
      <c r="M68" s="138">
        <v>35</v>
      </c>
      <c r="N68" s="138" t="s">
        <v>210</v>
      </c>
      <c r="O68" s="138">
        <v>600</v>
      </c>
      <c r="P68" s="165"/>
      <c r="Q68" s="138">
        <v>600</v>
      </c>
      <c r="R68" s="142">
        <v>11.53</v>
      </c>
      <c r="S68" s="142">
        <v>3113.1</v>
      </c>
      <c r="T68" s="138" t="s">
        <v>1015</v>
      </c>
      <c r="U68" s="42" t="str">
        <f t="shared" ref="U68:U73" si="1">+I68&amp;" "&amp;J68&amp;"X"&amp;L68&amp;"X"&amp;M68&amp;"  "&amp;N68</f>
        <v>FS M10X1.5X35  PPL-8.8</v>
      </c>
      <c r="V68" s="26" t="s">
        <v>48</v>
      </c>
    </row>
    <row r="69" spans="2:22" hidden="1">
      <c r="B69" s="138">
        <v>67</v>
      </c>
      <c r="C69" s="138" t="s">
        <v>1009</v>
      </c>
      <c r="D69" s="139" t="s">
        <v>1065</v>
      </c>
      <c r="E69" s="139">
        <v>245252603018</v>
      </c>
      <c r="F69" s="140">
        <v>46112</v>
      </c>
      <c r="G69" s="141" t="s">
        <v>1054</v>
      </c>
      <c r="H69" s="138" t="s">
        <v>1095</v>
      </c>
      <c r="I69" s="138" t="s">
        <v>1096</v>
      </c>
      <c r="J69" s="138" t="s">
        <v>1032</v>
      </c>
      <c r="K69" s="138" t="s">
        <v>1060</v>
      </c>
      <c r="L69" s="138">
        <v>1.5</v>
      </c>
      <c r="M69" s="138">
        <v>120</v>
      </c>
      <c r="N69" s="138" t="s">
        <v>214</v>
      </c>
      <c r="O69" s="138">
        <v>80</v>
      </c>
      <c r="P69" s="165"/>
      <c r="Q69" s="138">
        <v>80</v>
      </c>
      <c r="R69" s="142">
        <v>81.06</v>
      </c>
      <c r="S69" s="142">
        <v>2918.1600000000003</v>
      </c>
      <c r="T69" s="138" t="s">
        <v>1015</v>
      </c>
      <c r="U69" s="42" t="str">
        <f t="shared" si="1"/>
        <v>FB M16X1.5X120  PPL-10.9</v>
      </c>
      <c r="V69" s="143" t="s">
        <v>1038</v>
      </c>
    </row>
    <row r="70" spans="2:22" hidden="1">
      <c r="B70" s="138">
        <v>68</v>
      </c>
      <c r="C70" s="138" t="s">
        <v>1009</v>
      </c>
      <c r="D70" s="139" t="s">
        <v>1065</v>
      </c>
      <c r="E70" s="139">
        <v>245252603018</v>
      </c>
      <c r="F70" s="140">
        <v>46112</v>
      </c>
      <c r="G70" s="141" t="s">
        <v>1054</v>
      </c>
      <c r="H70" s="138" t="s">
        <v>1097</v>
      </c>
      <c r="I70" s="138" t="s">
        <v>1096</v>
      </c>
      <c r="J70" s="138" t="s">
        <v>1032</v>
      </c>
      <c r="K70" s="138" t="s">
        <v>1060</v>
      </c>
      <c r="L70" s="138">
        <v>2</v>
      </c>
      <c r="M70" s="138">
        <v>60</v>
      </c>
      <c r="N70" s="138" t="s">
        <v>214</v>
      </c>
      <c r="O70" s="138">
        <v>480</v>
      </c>
      <c r="P70" s="165"/>
      <c r="Q70" s="138">
        <v>480</v>
      </c>
      <c r="R70" s="142">
        <v>51.12</v>
      </c>
      <c r="S70" s="142">
        <v>11041.92</v>
      </c>
      <c r="T70" s="138" t="s">
        <v>1015</v>
      </c>
      <c r="U70" s="42" t="str">
        <f t="shared" si="1"/>
        <v>FB M16X2X60  PPL-10.9</v>
      </c>
      <c r="V70" s="143" t="s">
        <v>1038</v>
      </c>
    </row>
    <row r="71" spans="2:22" hidden="1">
      <c r="B71" s="138">
        <v>69</v>
      </c>
      <c r="C71" s="138" t="s">
        <v>1009</v>
      </c>
      <c r="D71" s="139" t="s">
        <v>1065</v>
      </c>
      <c r="E71" s="139">
        <v>245252603018</v>
      </c>
      <c r="F71" s="140">
        <v>46112</v>
      </c>
      <c r="G71" s="141" t="s">
        <v>1054</v>
      </c>
      <c r="H71" s="138" t="s">
        <v>1098</v>
      </c>
      <c r="I71" s="138" t="s">
        <v>1096</v>
      </c>
      <c r="J71" s="138" t="s">
        <v>1032</v>
      </c>
      <c r="K71" s="138" t="s">
        <v>1060</v>
      </c>
      <c r="L71" s="138">
        <v>2</v>
      </c>
      <c r="M71" s="138">
        <v>65</v>
      </c>
      <c r="N71" s="138" t="s">
        <v>214</v>
      </c>
      <c r="O71" s="138">
        <v>480</v>
      </c>
      <c r="P71" s="165"/>
      <c r="Q71" s="138">
        <v>480</v>
      </c>
      <c r="R71" s="142">
        <v>53.62</v>
      </c>
      <c r="S71" s="142">
        <v>11581.92</v>
      </c>
      <c r="T71" s="138" t="s">
        <v>1015</v>
      </c>
      <c r="U71" s="42" t="str">
        <f t="shared" si="1"/>
        <v>FB M16X2X65  PPL-10.9</v>
      </c>
      <c r="V71" s="143" t="s">
        <v>1038</v>
      </c>
    </row>
    <row r="72" spans="2:22" hidden="1">
      <c r="B72" s="138">
        <v>70</v>
      </c>
      <c r="C72" s="138" t="s">
        <v>1009</v>
      </c>
      <c r="D72" s="139" t="s">
        <v>1065</v>
      </c>
      <c r="E72" s="139">
        <v>245252603018</v>
      </c>
      <c r="F72" s="140">
        <v>46112</v>
      </c>
      <c r="G72" s="141" t="s">
        <v>1054</v>
      </c>
      <c r="H72" s="138" t="s">
        <v>1099</v>
      </c>
      <c r="I72" s="138" t="s">
        <v>1096</v>
      </c>
      <c r="J72" s="138" t="s">
        <v>1032</v>
      </c>
      <c r="K72" s="138" t="s">
        <v>1060</v>
      </c>
      <c r="L72" s="138">
        <v>2</v>
      </c>
      <c r="M72" s="138">
        <v>70</v>
      </c>
      <c r="N72" s="138" t="s">
        <v>214</v>
      </c>
      <c r="O72" s="138">
        <v>240</v>
      </c>
      <c r="P72" s="165"/>
      <c r="Q72" s="138">
        <v>240</v>
      </c>
      <c r="R72" s="142">
        <v>56.12</v>
      </c>
      <c r="S72" s="142">
        <v>6060.96</v>
      </c>
      <c r="T72" s="138" t="s">
        <v>1015</v>
      </c>
      <c r="U72" s="42" t="str">
        <f t="shared" si="1"/>
        <v>FB M16X2X70  PPL-10.9</v>
      </c>
      <c r="V72" s="143" t="s">
        <v>1038</v>
      </c>
    </row>
    <row r="73" spans="2:22" hidden="1">
      <c r="B73" s="138">
        <v>71</v>
      </c>
      <c r="C73" s="138" t="s">
        <v>1009</v>
      </c>
      <c r="D73" s="139" t="s">
        <v>1065</v>
      </c>
      <c r="E73" s="139">
        <v>245252603018</v>
      </c>
      <c r="F73" s="140">
        <v>46112</v>
      </c>
      <c r="G73" s="141" t="s">
        <v>1054</v>
      </c>
      <c r="H73" s="138" t="s">
        <v>1100</v>
      </c>
      <c r="I73" s="138" t="s">
        <v>1096</v>
      </c>
      <c r="J73" s="138" t="s">
        <v>1032</v>
      </c>
      <c r="K73" s="138" t="s">
        <v>1060</v>
      </c>
      <c r="L73" s="138">
        <v>2</v>
      </c>
      <c r="M73" s="138">
        <v>75</v>
      </c>
      <c r="N73" s="138" t="s">
        <v>214</v>
      </c>
      <c r="O73" s="138">
        <v>600</v>
      </c>
      <c r="P73" s="165"/>
      <c r="Q73" s="138">
        <v>600</v>
      </c>
      <c r="R73" s="142">
        <v>58.6</v>
      </c>
      <c r="S73" s="142">
        <v>15822</v>
      </c>
      <c r="T73" s="138" t="s">
        <v>1015</v>
      </c>
      <c r="U73" s="42" t="str">
        <f t="shared" si="1"/>
        <v>FB M16X2X75  PPL-10.9</v>
      </c>
      <c r="V73" s="143" t="s">
        <v>1038</v>
      </c>
    </row>
  </sheetData>
  <autoFilter ref="B2:V73" xr:uid="{00000000-0001-0000-0400-000000000000}">
    <filterColumn colId="8">
      <filters>
        <filter val="M12"/>
        <filter val="M12(19A/F)"/>
      </filters>
    </filterColumn>
    <filterColumn colId="11">
      <filters>
        <filter val="1 1/2"/>
        <filter val="1 1/2&quot;"/>
        <filter val="25"/>
        <filter val="30"/>
        <filter val="35"/>
        <filter val="40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7116-BA9B-476A-BBDC-62AC5D3C3320}">
  <dimension ref="D2:I2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23" sqref="I23"/>
    </sheetView>
  </sheetViews>
  <sheetFormatPr defaultRowHeight="14.4"/>
  <cols>
    <col min="4" max="4" width="5.33203125" bestFit="1" customWidth="1"/>
    <col min="5" max="6" width="15.88671875" customWidth="1"/>
    <col min="7" max="7" width="14.5546875" customWidth="1"/>
    <col min="8" max="8" width="18.33203125" style="182" customWidth="1"/>
    <col min="9" max="9" width="17.44140625" style="182" bestFit="1" customWidth="1"/>
  </cols>
  <sheetData>
    <row r="2" spans="4:9" ht="28.8">
      <c r="D2" s="174" t="s">
        <v>1101</v>
      </c>
      <c r="E2" s="174" t="s">
        <v>1102</v>
      </c>
      <c r="F2" s="174" t="s">
        <v>1103</v>
      </c>
      <c r="G2" s="174" t="s">
        <v>1104</v>
      </c>
      <c r="H2" s="175" t="s">
        <v>1105</v>
      </c>
      <c r="I2" s="175" t="s">
        <v>1106</v>
      </c>
    </row>
    <row r="3" spans="4:9" ht="31.5" customHeight="1">
      <c r="D3" s="176">
        <v>1</v>
      </c>
      <c r="E3" s="177" t="s">
        <v>1107</v>
      </c>
      <c r="F3" s="177" t="s">
        <v>1108</v>
      </c>
      <c r="G3" s="177" t="s">
        <v>1109</v>
      </c>
      <c r="H3" s="178">
        <v>46139</v>
      </c>
      <c r="I3" s="179" t="s">
        <v>1110</v>
      </c>
    </row>
    <row r="4" spans="4:9" ht="32.25" customHeight="1">
      <c r="D4" s="176">
        <v>2</v>
      </c>
      <c r="E4" s="177" t="s">
        <v>1111</v>
      </c>
      <c r="F4" s="177" t="s">
        <v>1112</v>
      </c>
      <c r="G4" s="177" t="s">
        <v>1113</v>
      </c>
      <c r="H4" s="178">
        <v>46140</v>
      </c>
      <c r="I4" s="180" t="s">
        <v>1110</v>
      </c>
    </row>
    <row r="5" spans="4:9" ht="24.9" customHeight="1">
      <c r="D5" s="176">
        <v>3</v>
      </c>
      <c r="E5" s="177" t="s">
        <v>1114</v>
      </c>
      <c r="F5" s="177" t="s">
        <v>1115</v>
      </c>
      <c r="G5" s="177" t="s">
        <v>1116</v>
      </c>
      <c r="H5" s="178"/>
      <c r="I5" s="180" t="s">
        <v>1117</v>
      </c>
    </row>
    <row r="6" spans="4:9" ht="35.25" customHeight="1">
      <c r="D6" s="176">
        <v>4</v>
      </c>
      <c r="E6" s="177" t="s">
        <v>1118</v>
      </c>
      <c r="F6" s="177" t="s">
        <v>1119</v>
      </c>
      <c r="G6" s="177" t="s">
        <v>1120</v>
      </c>
      <c r="H6" s="178">
        <v>46138</v>
      </c>
      <c r="I6" s="179" t="s">
        <v>1110</v>
      </c>
    </row>
    <row r="7" spans="4:9" ht="24.9" customHeight="1">
      <c r="D7" s="176">
        <v>5</v>
      </c>
      <c r="E7" s="177" t="s">
        <v>1121</v>
      </c>
      <c r="F7" s="177" t="s">
        <v>1122</v>
      </c>
      <c r="G7" s="177" t="s">
        <v>1123</v>
      </c>
      <c r="H7" s="180" t="s">
        <v>1124</v>
      </c>
      <c r="I7" s="180" t="s">
        <v>1125</v>
      </c>
    </row>
    <row r="8" spans="4:9" ht="35.25" customHeight="1">
      <c r="D8" s="176">
        <v>6</v>
      </c>
      <c r="E8" s="177" t="s">
        <v>1126</v>
      </c>
      <c r="F8" s="177" t="s">
        <v>1127</v>
      </c>
      <c r="G8" s="177" t="s">
        <v>1128</v>
      </c>
      <c r="H8" s="178">
        <v>45405</v>
      </c>
      <c r="I8" s="179" t="s">
        <v>1129</v>
      </c>
    </row>
    <row r="9" spans="4:9" ht="33" customHeight="1">
      <c r="D9" s="176">
        <v>7</v>
      </c>
      <c r="E9" s="177" t="s">
        <v>1130</v>
      </c>
      <c r="F9" s="177" t="s">
        <v>1131</v>
      </c>
      <c r="G9" s="177" t="s">
        <v>1132</v>
      </c>
      <c r="H9" s="178">
        <v>46138</v>
      </c>
      <c r="I9" s="179" t="s">
        <v>1133</v>
      </c>
    </row>
    <row r="10" spans="4:9" ht="34.5" customHeight="1">
      <c r="D10" s="176">
        <v>8</v>
      </c>
      <c r="E10" s="177" t="s">
        <v>1134</v>
      </c>
      <c r="F10" s="177" t="s">
        <v>1135</v>
      </c>
      <c r="G10" s="177" t="s">
        <v>1136</v>
      </c>
      <c r="H10" s="178">
        <v>46138</v>
      </c>
      <c r="I10" s="179" t="s">
        <v>1133</v>
      </c>
    </row>
    <row r="11" spans="4:9" ht="24.9" customHeight="1">
      <c r="D11" s="176">
        <v>9</v>
      </c>
      <c r="E11" s="177" t="s">
        <v>1137</v>
      </c>
      <c r="F11" s="177" t="s">
        <v>1138</v>
      </c>
      <c r="G11" s="177" t="s">
        <v>1139</v>
      </c>
      <c r="H11" s="180"/>
      <c r="I11" s="180" t="s">
        <v>1140</v>
      </c>
    </row>
    <row r="12" spans="4:9" ht="24.9" customHeight="1">
      <c r="D12" s="176">
        <v>10</v>
      </c>
      <c r="E12" s="177" t="s">
        <v>1141</v>
      </c>
      <c r="F12" s="177" t="s">
        <v>1142</v>
      </c>
      <c r="G12" s="177" t="s">
        <v>1143</v>
      </c>
      <c r="H12" s="178">
        <v>46137</v>
      </c>
      <c r="I12" s="180" t="s">
        <v>1110</v>
      </c>
    </row>
    <row r="13" spans="4:9" ht="32.25" customHeight="1">
      <c r="D13" s="176">
        <v>11</v>
      </c>
      <c r="E13" s="177" t="s">
        <v>1144</v>
      </c>
      <c r="F13" s="177" t="s">
        <v>1145</v>
      </c>
      <c r="G13" s="177" t="s">
        <v>1146</v>
      </c>
      <c r="H13" s="178">
        <v>46140</v>
      </c>
      <c r="I13" s="179" t="s">
        <v>1133</v>
      </c>
    </row>
    <row r="14" spans="4:9" ht="24.9" customHeight="1">
      <c r="D14" s="176">
        <v>12</v>
      </c>
      <c r="E14" s="177" t="s">
        <v>1147</v>
      </c>
      <c r="F14" s="177" t="s">
        <v>1148</v>
      </c>
      <c r="G14" s="177" t="s">
        <v>1149</v>
      </c>
      <c r="H14" s="178">
        <v>46133</v>
      </c>
      <c r="I14" s="180" t="s">
        <v>1110</v>
      </c>
    </row>
    <row r="15" spans="4:9" ht="29.25" customHeight="1">
      <c r="D15" s="176">
        <v>13</v>
      </c>
      <c r="E15" s="177" t="s">
        <v>1150</v>
      </c>
      <c r="F15" s="177" t="s">
        <v>1151</v>
      </c>
      <c r="G15" s="177" t="s">
        <v>1152</v>
      </c>
      <c r="H15" s="180" t="s">
        <v>1124</v>
      </c>
      <c r="I15" s="179" t="s">
        <v>1153</v>
      </c>
    </row>
    <row r="16" spans="4:9" ht="30.75" customHeight="1">
      <c r="D16" s="176">
        <v>14</v>
      </c>
      <c r="E16" s="177" t="s">
        <v>1154</v>
      </c>
      <c r="F16" s="177" t="s">
        <v>1155</v>
      </c>
      <c r="G16" s="177" t="s">
        <v>1156</v>
      </c>
      <c r="H16" s="178">
        <v>46198</v>
      </c>
      <c r="I16" s="179" t="s">
        <v>1129</v>
      </c>
    </row>
    <row r="17" spans="4:9" ht="24.9" customHeight="1">
      <c r="D17" s="176">
        <v>15</v>
      </c>
      <c r="E17" s="177" t="s">
        <v>1137</v>
      </c>
      <c r="F17" s="177" t="s">
        <v>1138</v>
      </c>
      <c r="G17" s="177" t="s">
        <v>1139</v>
      </c>
      <c r="H17" s="180"/>
      <c r="I17" s="180" t="s">
        <v>1140</v>
      </c>
    </row>
    <row r="18" spans="4:9" ht="30.75" customHeight="1">
      <c r="D18" s="176">
        <v>16</v>
      </c>
      <c r="E18" s="177" t="s">
        <v>1141</v>
      </c>
      <c r="F18" s="177" t="s">
        <v>1142</v>
      </c>
      <c r="G18" s="177" t="s">
        <v>1143</v>
      </c>
      <c r="H18" s="178">
        <v>46138</v>
      </c>
      <c r="I18" s="179" t="s">
        <v>1129</v>
      </c>
    </row>
    <row r="19" spans="4:9" ht="30" customHeight="1">
      <c r="D19" s="176">
        <v>17</v>
      </c>
      <c r="E19" s="177" t="s">
        <v>1157</v>
      </c>
      <c r="F19" s="177" t="s">
        <v>1158</v>
      </c>
      <c r="G19" s="177" t="s">
        <v>1159</v>
      </c>
      <c r="H19" s="178">
        <v>46139</v>
      </c>
      <c r="I19" s="179" t="s">
        <v>1129</v>
      </c>
    </row>
    <row r="20" spans="4:9" ht="24.9" customHeight="1">
      <c r="D20" s="176">
        <v>18</v>
      </c>
      <c r="E20" s="177" t="s">
        <v>1160</v>
      </c>
      <c r="F20" s="177" t="s">
        <v>1161</v>
      </c>
      <c r="G20" s="177" t="s">
        <v>1162</v>
      </c>
      <c r="H20" s="178"/>
      <c r="I20" s="180" t="s">
        <v>1163</v>
      </c>
    </row>
    <row r="21" spans="4:9" ht="30.75" customHeight="1">
      <c r="D21" s="176">
        <v>19</v>
      </c>
      <c r="E21" s="177" t="s">
        <v>1144</v>
      </c>
      <c r="F21" s="177" t="s">
        <v>1145</v>
      </c>
      <c r="G21" s="177" t="s">
        <v>1146</v>
      </c>
      <c r="H21" s="178">
        <v>46140</v>
      </c>
      <c r="I21" s="179" t="s">
        <v>1133</v>
      </c>
    </row>
    <row r="22" spans="4:9" ht="32.25" customHeight="1">
      <c r="D22" s="176">
        <v>20</v>
      </c>
      <c r="E22" s="177" t="s">
        <v>1164</v>
      </c>
      <c r="F22" s="177" t="s">
        <v>1145</v>
      </c>
      <c r="G22" s="177" t="s">
        <v>1156</v>
      </c>
      <c r="H22" s="178">
        <v>46140</v>
      </c>
      <c r="I22" s="179" t="s">
        <v>1133</v>
      </c>
    </row>
    <row r="23" spans="4:9" ht="24.9" customHeight="1">
      <c r="D23" s="176">
        <v>21</v>
      </c>
      <c r="E23" s="177" t="s">
        <v>1165</v>
      </c>
      <c r="F23" s="177" t="s">
        <v>1148</v>
      </c>
      <c r="G23" s="181">
        <v>283134</v>
      </c>
      <c r="H23" s="178"/>
      <c r="I23" s="180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FORGING PRIORITY 64s</vt:lpstr>
      <vt:lpstr>FORGING PRIORITY 6L4</vt:lpstr>
      <vt:lpstr>FORGING PRIORITY 6L4 (2)</vt:lpstr>
      <vt:lpstr>FORGING PRIORITY 254LL</vt:lpstr>
      <vt:lpstr>FORGING PRIORITY 164 S</vt:lpstr>
      <vt:lpstr>FORGING PRIORITY 164s</vt:lpstr>
      <vt:lpstr>FORGING PRIORITY 164s 1</vt:lpstr>
      <vt:lpstr>holiday plan</vt:lpstr>
      <vt:lpstr>Daily forging priority</vt:lpstr>
      <vt:lpstr>FORGING PRIORITY - (2)</vt:lpstr>
      <vt:lpstr>120821</vt:lpstr>
      <vt:lpstr>160821</vt:lpstr>
      <vt:lpstr>closed</vt:lpstr>
      <vt:lpstr>open TILL 30 june</vt:lpstr>
      <vt:lpstr>APRIL 26</vt:lpstr>
      <vt:lpstr>TBF</vt:lpstr>
      <vt:lpstr>Sheet4</vt:lpstr>
      <vt:lpstr>'120821'!Print_Area</vt:lpstr>
      <vt:lpstr>'160821'!Print_Area</vt:lpstr>
      <vt:lpstr>'Daily forging priority'!Print_Area</vt:lpstr>
      <vt:lpstr>'FORGING PRIORITY - (2)'!Print_Area</vt:lpstr>
      <vt:lpstr>'FORGING PRIORITY 164 S'!Print_Area</vt:lpstr>
      <vt:lpstr>'FORGING PRIORITY 164s'!Print_Area</vt:lpstr>
      <vt:lpstr>'FORGING PRIORITY 164s 1'!Print_Area</vt:lpstr>
      <vt:lpstr>'FORGING PRIORITY 254LL'!Print_Area</vt:lpstr>
      <vt:lpstr>'FORGING PRIORITY 64s'!Print_Area</vt:lpstr>
      <vt:lpstr>'FORGING PRIORITY 6L4'!Print_Area</vt:lpstr>
      <vt:lpstr>'FORGING PRIORITY 6L4 (2)'!Print_Area</vt:lpstr>
      <vt:lpstr>'holiday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prfp2021</dc:creator>
  <cp:lastModifiedBy>mom dad</cp:lastModifiedBy>
  <cp:lastPrinted>2023-02-08T12:08:07Z</cp:lastPrinted>
  <dcterms:created xsi:type="dcterms:W3CDTF">2017-10-21T12:07:46Z</dcterms:created>
  <dcterms:modified xsi:type="dcterms:W3CDTF">2026-04-21T06:59:25Z</dcterms:modified>
</cp:coreProperties>
</file>